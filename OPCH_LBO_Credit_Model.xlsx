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icals" sheetId="3" state="visible" r:id="rId5"/>
    <sheet name="EBITDA_Addbacks" sheetId="4" state="visible" r:id="rId6"/>
    <sheet name="Cap_Stack" sheetId="5" state="visible" r:id="rId7"/>
    <sheet name="Projections" sheetId="6" state="visible" r:id="rId8"/>
    <sheet name="Credit_Stats" sheetId="7" state="visible" r:id="rId9"/>
    <sheet name="Recove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Source: Form 8-K dated Oct-5-2026 (Merger Agreement with Onyx Bidco / CD&amp;R + McKesson), Item 1.01. Per Share Price $32.05 cash.</t>
        </r>
      </text>
    </comment>
    <comment ref="B11" authorId="0">
      <text>
        <r>
          <rPr>
            <sz val="10"/>
            <rFont val="Arial"/>
            <family val="2"/>
          </rPr>
          <t xml:space="preserve">Assumption: 149.785mm basic shares outstanding on Jul-27-2026 (Q2 10-Q cover) + ~0.6mm dilutive RSUs/options (Q2 diluted minus basic weighted shares). Verify against merger proxy.</t>
        </r>
      </text>
    </comment>
    <comment ref="B12" authorId="0">
      <text>
        <r>
          <rPr>
            <sz val="10"/>
            <rFont val="Arial"/>
            <family val="2"/>
          </rPr>
          <t xml:space="preserve">Source: Form 8-K dated Oct-5-2026 (Merger Agreement with Onyx Bidco / CD&amp;R + McKesson), Item 1.01. Equity Commitment Letters: $2,873,295,853.</t>
        </r>
      </text>
    </comment>
    <comment ref="B13" authorId="0">
      <text>
        <r>
          <rPr>
            <sz val="10"/>
            <rFont val="Arial"/>
            <family val="2"/>
          </rPr>
          <t xml:space="preserve">Source: Form 8-K dated Oct-5-2026 (Merger Agreement with Onyx Bidco / CD&amp;R + McKesson), Item 1.01. Debt commitment letter: up to $3.15bn term debt.</t>
        </r>
      </text>
    </comment>
    <comment ref="B14" authorId="0">
      <text>
        <r>
          <rPr>
            <sz val="10"/>
            <rFont val="Arial"/>
            <family val="2"/>
          </rPr>
          <t xml:space="preserve">Source: Form 8-K dated Oct-5-2026 (Merger Agreement with Onyx Bidco / CD&amp;R + McKesson), Item 1.01. Up to $500.0mm revolving commitments.</t>
        </r>
      </text>
    </comment>
    <comment ref="B15" authorId="0">
      <text>
        <r>
          <rPr>
            <sz val="10"/>
            <rFont val="Arial"/>
            <family val="2"/>
          </rPr>
          <t xml:space="preserve">Source: Q2 2026 Form 10-Q (six months ended Jun-30-2026). https://www.sec.gov/Archives/edgar/data/0001014739/000101473926000023/bios-20260630.htm Note 10: 1L Term Loan $672.9mm + 4.375% Senior Notes $500.0mm principal. Notes assumed redeemed at par (call schedule to verify in indenture).</t>
        </r>
      </text>
    </comment>
    <comment ref="B16" authorId="0">
      <text>
        <r>
          <rPr>
            <sz val="10"/>
            <rFont val="Arial"/>
            <family val="2"/>
          </rPr>
          <t xml:space="preserve">Source: Q2 2026 Form 10-Q (six months ended Jun-30-2026). https://www.sec.gov/Archives/edgar/data/0001014739/000101473926000023/bios-20260630.htm Cash and cash equivalents Jun-30-2026.</t>
        </r>
      </text>
    </comment>
    <comment ref="B17" authorId="0">
      <text>
        <r>
          <rPr>
            <sz val="10"/>
            <rFont val="Arial"/>
            <family val="2"/>
          </rPr>
          <t xml:space="preserve">Assumption.</t>
        </r>
      </text>
    </comment>
    <comment ref="B18" authorId="0">
      <text>
        <r>
          <rPr>
            <sz val="10"/>
            <rFont val="Arial"/>
            <family val="2"/>
          </rPr>
          <t xml:space="preserve">Assumption: typical underwriting/arrangement fee for sponsor term loans.</t>
        </r>
      </text>
    </comment>
    <comment ref="B19" authorId="0">
      <text>
        <r>
          <rPr>
            <sz val="10"/>
            <rFont val="Arial"/>
            <family val="2"/>
          </rPr>
          <t xml:space="preserve">Assumption: issue price 99.0.</t>
        </r>
      </text>
    </comment>
    <comment ref="B20" authorId="0">
      <text>
        <r>
          <rPr>
            <sz val="10"/>
            <rFont val="Arial"/>
            <family val="2"/>
          </rPr>
          <t xml:space="preserve">Assumption.</t>
        </r>
      </text>
    </comment>
    <comment ref="B23" authorId="0">
      <text>
        <r>
          <rPr>
            <sz val="10"/>
            <rFont val="Arial"/>
            <family val="2"/>
          </rPr>
          <t xml:space="preserve">CARVE: fails Recurring (every year) and Excluded-from-operations (staff must be paid market compensation – replacement-labor rule). Rejected. Sensitivity on EBITDA_Addbacks row 59.</t>
        </r>
      </text>
    </comment>
    <comment ref="B24" authorId="0">
      <text>
        <r>
          <rPr>
            <sz val="10"/>
            <rFont val="Arial"/>
            <family val="2"/>
          </rPr>
          <t xml:space="preserve">CARVE: cash cost every period (FY24 $11.1mm, FY25 $18.4mm, H1-26 $7.3mm), supported only by management schedules, tied to an acquisitive strategy. Fails C, R, V, E. Rejected.</t>
        </r>
      </text>
    </comment>
    <comment ref="B25" authorId="0">
      <text>
        <r>
          <rPr>
            <sz val="10"/>
            <rFont val="Arial"/>
            <family val="2"/>
          </rPr>
          <t xml:space="preserve">CARVE: non-cash and financing-related, but fails Recurring (FY24 $0.4mm and FY25 $4.7mm). Rejected per rule. Sensitivity on EBITDA_Addbacks row 58.</t>
        </r>
      </text>
    </comment>
    <comment ref="B26" authorId="0">
      <text>
        <r>
          <rPr>
            <sz val="10"/>
            <rFont val="Arial"/>
            <family val="2"/>
          </rPr>
          <t xml:space="preserve">Assumption: sponsor run-rate cost savings counted in covenant EBITDA (clause (a)(vii)). Not disclosed – new-deal documents and sponsor model needed. Set to the cap to see the worst case.</t>
        </r>
      </text>
    </comment>
    <comment ref="B29" authorId="0">
      <text>
        <r>
          <rPr>
            <sz val="10"/>
            <rFont val="Arial"/>
            <family val="2"/>
          </rPr>
          <t xml:space="preserve">Assumption: illustrative split of the $3.15bn commitment.</t>
        </r>
      </text>
    </comment>
    <comment ref="B35" authorId="0">
      <text>
        <r>
          <rPr>
            <sz val="10"/>
            <rFont val="Arial"/>
            <family val="2"/>
          </rPr>
          <t xml:space="preserve">Assumption: B-rated sponsor 1L TLB market range ~SOFR+300–375. Current OPCH TLB pays SOFR+175 (Source: Fourth Amendment to A&amp;R First Lien Credit Agreement (Sep-22-2025), Exhibit A conformed credit agreement.).</t>
        </r>
      </text>
    </comment>
    <comment ref="B36" authorId="0">
      <text>
        <r>
          <rPr>
            <sz val="10"/>
            <rFont val="Arial"/>
            <family val="2"/>
          </rPr>
          <t xml:space="preserve">Assumption.</t>
        </r>
      </text>
    </comment>
    <comment ref="B37" authorId="0">
      <text>
        <r>
          <rPr>
            <sz val="10"/>
            <rFont val="Arial"/>
            <family val="2"/>
          </rPr>
          <t xml:space="preserve">Assumption.</t>
        </r>
      </text>
    </comment>
    <comment ref="B38" authorId="0">
      <text>
        <r>
          <rPr>
            <sz val="10"/>
            <rFont val="Arial"/>
            <family val="2"/>
          </rPr>
          <t xml:space="preserve">Assumption.</t>
        </r>
      </text>
    </comment>
    <comment ref="B39" authorId="0">
      <text>
        <r>
          <rPr>
            <sz val="10"/>
            <rFont val="Arial"/>
            <family val="2"/>
          </rPr>
          <t xml:space="preserve">Assumption.</t>
        </r>
      </text>
    </comment>
    <comment ref="B40" authorId="0">
      <text>
        <r>
          <rPr>
            <sz val="10"/>
            <rFont val="Arial"/>
            <family val="2"/>
          </rPr>
          <t xml:space="preserve">Assumption: standard 0.50% floor.</t>
        </r>
      </text>
    </comment>
    <comment ref="B41" authorId="0">
      <text>
        <r>
          <rPr>
            <sz val="10"/>
            <rFont val="Arial"/>
            <family val="2"/>
          </rPr>
          <t xml:space="preserve">Market standard 1% p.a.</t>
        </r>
      </text>
    </comment>
    <comment ref="B42" authorId="0">
      <text>
        <r>
          <rPr>
            <sz val="10"/>
            <rFont val="Arial"/>
            <family val="2"/>
          </rPr>
          <t xml:space="preserve">Assumption: 50% ECF sweep.</t>
        </r>
      </text>
    </comment>
    <comment ref="B63" authorId="0">
      <text>
        <r>
          <rPr>
            <sz val="10"/>
            <rFont val="Arial"/>
            <family val="2"/>
          </rPr>
          <t xml:space="preserve">FY2025 capex $41.3mm / revenue $5,649.5mm = 0.73% (Source: FY2025 Form 10-K (filed Feb-2026), Consolidated Financial Statements. https://www.sec.gov/Archives/edgar/data/1014739/000101473926000008/bios-20251231.htm).</t>
        </r>
      </text>
    </comment>
    <comment ref="B64" authorId="0">
      <text>
        <r>
          <rPr>
            <sz val="10"/>
            <rFont val="Arial"/>
            <family val="2"/>
          </rPr>
          <t xml:space="preserve">FY2025 D&amp;A $70.7mm / revenue = 1.25%.</t>
        </r>
      </text>
    </comment>
    <comment ref="B65" authorId="0">
      <text>
        <r>
          <rPr>
            <sz val="10"/>
            <rFont val="Arial"/>
            <family val="2"/>
          </rPr>
          <t xml:space="preserve">Dec-2025 (AR + inventory – AP) / FY2025 revenue = 5.4%.</t>
        </r>
      </text>
    </comment>
    <comment ref="B66" authorId="0">
      <text>
        <r>
          <rPr>
            <sz val="10"/>
            <rFont val="Arial"/>
            <family val="2"/>
          </rPr>
          <t xml:space="preserve">FY2025 effective tax rate 26.6%; assume 25%.</t>
        </r>
      </text>
    </comment>
    <comment ref="B67" authorId="0">
      <text>
        <r>
          <rPr>
            <sz val="10"/>
            <rFont val="Arial"/>
            <family val="2"/>
          </rPr>
          <t xml:space="preserve">FY2025 cash paid for operating leases $30.7mm / revenue $5,649.5mm = 0.54% (Source: FY2025 Form 10-K (filed Feb-2026), Consolidated Financial Statements. https://www.sec.gov/Archives/edgar/data/1014739/000101473926000008/bios-20251231.htm). Used for EBITDAR-based FCCR.</t>
        </r>
      </text>
    </comment>
    <comment ref="B69" authorId="0">
      <text>
        <r>
          <rPr>
            <sz val="10"/>
            <rFont val="Arial"/>
            <family val="2"/>
          </rPr>
          <t xml:space="preserve">Assumption: set ~35% cushion to closing covenant-basis 1L net leverage (typical for sponsor deals); new deal terms not public. Existing revolver covenant: Total Net Leverage ≤ 4.50x and FCCR ≥ 1.50x, revolver lenders only (Source: Fourth Amendment to A&amp;R First Lien Credit Agreement (Sep-22-2025), Exhibit A conformed credit agreement. Section 7.11). TLB is covenant-lite.</t>
        </r>
      </text>
    </comment>
    <comment ref="B70" authorId="0">
      <text>
        <r>
          <rPr>
            <sz val="10"/>
            <rFont val="Arial"/>
            <family val="2"/>
          </rPr>
          <t xml:space="preserve">FCCR = (EBITDAR – capex – cash taxes) / (cash interest + mandatory amortization + rent).</t>
        </r>
      </text>
    </comment>
    <comment ref="B71" authorId="0">
      <text>
        <r>
          <rPr>
            <sz val="10"/>
            <rFont val="Arial"/>
            <family val="2"/>
          </rPr>
          <t xml:space="preserve">Assumption.</t>
        </r>
      </text>
    </comment>
    <comment ref="B72" authorId="0">
      <text>
        <r>
          <rPr>
            <sz val="10"/>
            <rFont val="Arial"/>
            <family val="2"/>
          </rPr>
          <t xml:space="preserve">Liquidity = cash + undrawn revolver.</t>
        </r>
      </text>
    </comment>
    <comment ref="C46" authorId="0">
      <text>
        <r>
          <rPr>
            <sz val="10"/>
            <rFont val="Arial"/>
            <family val="2"/>
          </rPr>
          <t xml:space="preserve">Assumption: implied current SOFR ~3.6% (Q2-26 TLB rate 5.37% less 1.75% spread).</t>
        </r>
      </text>
    </comment>
    <comment ref="C47" authorId="0">
      <text>
        <r>
          <rPr>
            <sz val="10"/>
            <rFont val="Arial"/>
            <family val="2"/>
          </rPr>
          <t xml:space="preserve">Stress: SOFR 5.5–6.0% (project brief macro shock).</t>
        </r>
      </text>
    </comment>
    <comment ref="C52" authorId="0">
      <text>
        <r>
          <rPr>
            <sz val="10"/>
            <rFont val="Arial"/>
            <family val="2"/>
          </rPr>
          <t xml:space="preserve">Assumption: in line with 2026 guidance growth (~1–3%) uplifted for sponsor plan; management/sponsor case.</t>
        </r>
      </text>
    </comment>
    <comment ref="C53" authorId="0">
      <text>
        <r>
          <rPr>
            <sz val="10"/>
            <rFont val="Arial"/>
            <family val="2"/>
          </rPr>
          <t xml:space="preserve">Assumption: lender haircut to management growth.</t>
        </r>
      </text>
    </comment>
    <comment ref="C54" authorId="0">
      <text>
        <r>
          <rPr>
            <sz val="10"/>
            <rFont val="Arial"/>
            <family val="2"/>
          </rPr>
          <t xml:space="preserve">Assumption: reimbursement cut / volume loss in 2028, slow recovery.</t>
        </r>
      </text>
    </comment>
    <comment ref="C57" authorId="0">
      <text>
        <r>
          <rPr>
            <sz val="10"/>
            <rFont val="Arial"/>
            <family val="2"/>
          </rPr>
          <t xml:space="preserve">Assumption: +10bps per year operating leverage.</t>
        </r>
      </text>
    </comment>
    <comment ref="C59" authorId="0">
      <text>
        <r>
          <rPr>
            <sz val="10"/>
            <rFont val="Arial"/>
            <family val="2"/>
          </rPr>
          <t xml:space="preserve">Assumption: clinical wage inflation + drug pricing compresses margin 100–250bps (project brief: 100–300bps).</t>
        </r>
      </text>
    </comment>
    <comment ref="D14" authorId="0">
      <text>
        <r>
          <rPr>
            <sz val="10"/>
            <rFont val="Arial"/>
            <family val="2"/>
          </rPr>
          <t xml:space="preserve">Assumption: new revolver ~5-year tenor vs ~7-year term loan (typical). Revolver must be repaid or refinanced at this projection year – flagged on Credit_Stats.</t>
        </r>
      </text>
    </comment>
    <comment ref="D26" authorId="0">
      <text>
        <r>
          <rPr>
            <sz val="10"/>
            <rFont val="Arial"/>
            <family val="2"/>
          </rPr>
          <t xml:space="preserve">Source: Fourth Amendment to A&amp;R First Lien Credit Agreement (Sep-22-2025), Exhibit A conformed credit agreement. Consolidated EBITDA clause (a)(vii): run-rate synergies capped at 35.0% of Consolidated EBITDA (calculated after the add-back).</t>
        </r>
      </text>
    </comment>
    <comment ref="D66" authorId="0">
      <text>
        <r>
          <rPr>
            <sz val="10"/>
            <rFont val="Arial"/>
            <family val="2"/>
          </rPr>
          <t xml:space="preserve">IRC Section 163(j): net business interest deduction limited to ~30% of adjusted taxable income (EBITDA-based). Disallowed interest carries forward (not modelled – conservative). Verify current rules with a tax adviser.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Projected at the same % uplift over Underwriting EBITDA as PF LTM (Historicals!G89).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Balances taken at the beginning of this projection year.</t>
        </r>
      </text>
    </comment>
    <comment ref="B6" authorId="0">
      <text>
        <r>
          <rPr>
            <sz val="10"/>
            <rFont val="Arial"/>
            <family val="2"/>
          </rPr>
          <t xml:space="preserve">Assumption: ~35% decline gives ~$300mm distressed EBITDA (project brief example).</t>
        </r>
      </text>
    </comment>
    <comment ref="B7" authorId="0">
      <text>
        <r>
          <rPr>
            <sz val="10"/>
            <rFont val="Arial"/>
            <family val="2"/>
          </rPr>
          <t xml:space="preserve">Assumption: below 5.0x brief example is too punitive vs ~12x purchase multiple; sensitivity table below covers 5.0–8.0x.</t>
        </r>
      </text>
    </comment>
    <comment ref="B8" authorId="0">
      <text>
        <r>
          <rPr>
            <sz val="10"/>
            <rFont val="Arial"/>
            <family val="2"/>
          </rPr>
          <t xml:space="preserve">Assumption: bankruptcy costs.</t>
        </r>
      </text>
    </comment>
    <comment ref="B9" authorId="0">
      <text>
        <r>
          <rPr>
            <sz val="10"/>
            <rFont val="Arial"/>
            <family val="2"/>
          </rPr>
          <t xml:space="preserve">Assumption.</t>
        </r>
      </text>
    </comment>
    <comment ref="B10" authorId="0">
      <text>
        <r>
          <rPr>
            <sz val="10"/>
            <rFont val="Arial"/>
            <family val="2"/>
          </rPr>
          <t xml:space="preserve">Standard: borrowers fully draw before filing.</t>
        </r>
      </text>
    </comment>
    <comment ref="B11" authorId="0">
      <text>
        <r>
          <rPr>
            <sz val="10"/>
            <rFont val="Arial"/>
            <family val="2"/>
          </rPr>
          <t xml:space="preserve">Accounts payable Jun-30-2026 used as proxy for general unsecured claims.</t>
        </r>
      </text>
    </comment>
    <comment ref="B53" authorId="0">
      <text>
        <r>
          <rPr>
            <sz val="10"/>
            <rFont val="Arial"/>
            <family val="2"/>
          </rPr>
          <t xml:space="preserve">PLACEHOLDER – replace with probability of distress from the R Monte Carlo. Sanity-check vs published S&amp;P/Moody's cumulative default rates for B/B+ issuers.</t>
        </r>
      </text>
    </comment>
  </commentList>
</comments>
</file>

<file path=xl/sharedStrings.xml><?xml version="1.0" encoding="utf-8"?>
<sst xmlns="http://schemas.openxmlformats.org/spreadsheetml/2006/main" count="720" uniqueCount="564">
  <si>
    <t xml:space="preserve">Option Care Health (OPCH) – LBO First-Lien Term Loan Credit Model</t>
  </si>
  <si>
    <t xml:space="preserve">Question: should we lend into the ~$3.15bn term debt funding CD&amp;R + McKesson's $32.05/share take-private (signed Oct-5-2026, close expected 1H 2027)?</t>
  </si>
  <si>
    <t xml:space="preserve">Tab guide</t>
  </si>
  <si>
    <t xml:space="preserve">Inputs</t>
  </si>
  <si>
    <t xml:space="preserve">Case / structure / SOFR switches, transaction terms, add-back decisions, pricing, Sources &amp; Uses, implied valuation.</t>
  </si>
  <si>
    <t xml:space="preserve">Historicals</t>
  </si>
  <si>
    <t xml:space="preserve">FY2023–FY2025, H1 2025/26 and LTM Jun-26: income statement, EBITDA rebuild tied to company figures, Underwriting EBITDA (your view), Credit Agreement EBITDA (covenant view), cash flow, balance sheet.</t>
  </si>
  <si>
    <t xml:space="preserve">EBITDA_Addbacks</t>
  </si>
  <si>
    <t xml:space="preserve">Underwriter EBITDA CARVE bridge: GAAP net income → Baseline EBITDA → Underwriter EBITDA, EBITDAR, Other-net memo, CARVE scorecard, sensitivities.</t>
  </si>
  <si>
    <t xml:space="preserve">Cap_Stack</t>
  </si>
  <si>
    <t xml:space="preserve">Pro forma capital structure at close, leverage by layer, equity cushion, pre-deal vs pro forma comparison.</t>
  </si>
  <si>
    <t xml:space="preserve">Projections</t>
  </si>
  <si>
    <t xml:space="preserve">7-year operating build, interest on floating debt, free cash flow, revolver / TLB / sweep debt schedule.</t>
  </si>
  <si>
    <t xml:space="preserve">Credit_Stats</t>
  </si>
  <si>
    <t xml:space="preserve">Leverage, coverage, FCCR, liquidity, covenant headroom and distress flags by year.</t>
  </si>
  <si>
    <t xml:space="preserve">Recovery</t>
  </si>
  <si>
    <t xml:space="preserve">Distressed EV waterfall, recovery and LGD by class, sensitivity grid, expected loss vs spread.</t>
  </si>
  <si>
    <t xml:space="preserve">Colour legend</t>
  </si>
  <si>
    <t xml:space="preserve">Blue text</t>
  </si>
  <si>
    <t xml:space="preserve">Hardcoded input (from filings or assumption) – sources in cell comments</t>
  </si>
  <si>
    <t xml:space="preserve">Black text</t>
  </si>
  <si>
    <t xml:space="preserve">Formula</t>
  </si>
  <si>
    <t xml:space="preserve">Green text</t>
  </si>
  <si>
    <t xml:space="preserve">Link to another tab</t>
  </si>
  <si>
    <t xml:space="preserve">Yellow fill</t>
  </si>
  <si>
    <t xml:space="preserve">Key assumption / judgment call to revisit</t>
  </si>
  <si>
    <t xml:space="preserve">Sources</t>
  </si>
  <si>
    <t xml:space="preserve">Source: FY2025 Form 10-K (filed Feb-2026), Consolidated Financial Statements. https://www.sec.gov/Archives/edgar/data/1014739/000101473926000008/bios-20251231.htm</t>
  </si>
  <si>
    <t xml:space="preserve">Source: FY2023 Form 10-K, Consolidated Balance Sheet / Note: Indebtedness.</t>
  </si>
  <si>
    <t xml:space="preserve">Source: Q2 2026 Form 10-Q (six months ended Jun-30-2026). https://www.sec.gov/Archives/edgar/data/0001014739/000101473926000023/bios-20260630.htm</t>
  </si>
  <si>
    <t xml:space="preserve">Source: FY2024 earnings release (8-K Ex. 99.1), Adjusted EBITDA reconciliation. https://www.sec.gov/Archives/edgar/data/1014739/000101473925000008/exhibit991-12312024.htm</t>
  </si>
  <si>
    <t xml:space="preserve">Source: FY2025 earnings release (8-K Ex. 99.1, Feb-24-2026), Adjusted EBITDA reconciliation.</t>
  </si>
  <si>
    <t xml:space="preserve">Source: Q2 2026 earnings release (8-K Ex. 99.1, Jul-29-2026), six-month Adjusted EBITDA reconciliation.</t>
  </si>
  <si>
    <t xml:space="preserve">Source: Fourth Amendment to A&amp;R First Lien Credit Agreement (Sep-22-2025), Exhibit A conformed credit agreement.</t>
  </si>
  <si>
    <t xml:space="preserve">Source: Form 8-K dated Oct-5-2026 (Merger Agreement with Onyx Bidco / CD&amp;R + McKesson), Item 1.01.</t>
  </si>
  <si>
    <t xml:space="preserve">Deal press release (Oct-6-2026): ~$5.8bn EV, ~37% premium, CD&amp;R ~51% / McKesson ~49%, financing from BofA, Barclays, Goldman Sachs, Jefferies, Wells Fargo.</t>
  </si>
  <si>
    <t xml:space="preserve">Key open items</t>
  </si>
  <si>
    <t xml:space="preserve">• New loan pricing, OID, tranche split, covenants and maturity are NOT public – modelled as assumptions (Inputs). Update at syndication launch.</t>
  </si>
  <si>
    <t xml:space="preserve">• Merger proxy (PREM14A/DEFM14A) will add management projections and financing detail – replace operating cases when filed.</t>
  </si>
  <si>
    <t xml:space="preserve">• Q3 2026 10-Q / earnings (due ~late Oct-2026) – roll LTM forward to Sep-30-2026.</t>
  </si>
  <si>
    <t xml:space="preserve">• PD on Recovery!B53 is a placeholder until the R Monte Carlo is built.</t>
  </si>
  <si>
    <t xml:space="preserve">• Two EBITDAs: Underwriting EBITDA drives cash flow, distress and recovery; Credit Agreement EBITDA (per current OPCH credit agreement definitions) drives covenant tests only.</t>
  </si>
  <si>
    <t xml:space="preserve">Option Care Health (OPCH) – LBO First-Lien Term Loan: Inputs &amp; Sources/Uses</t>
  </si>
  <si>
    <t xml:space="preserve">$ in millions unless noted · Blue = hardcoded input · Black = formula · Green = link to other tab · Yellow = key assumption to revisit</t>
  </si>
  <si>
    <t xml:space="preserve">CASE &amp; STRUCTURE SWITCHES</t>
  </si>
  <si>
    <t xml:space="preserve">Operating case (1 = Management, 2 = Lender Base, 3 = Downside)</t>
  </si>
  <si>
    <t xml:space="preserve">Switches drive Projections, Credit_Stats and Recovery. Lender Base is the underwriting case.</t>
  </si>
  <si>
    <t xml:space="preserve">Capital structure (1 = A: all 1L, 2 = B: 1L + unsecured, 3 = C: 1L + 2L)</t>
  </si>
  <si>
    <t xml:space="preserve">SOFR path (1 = Base, 2 = Stress)</t>
  </si>
  <si>
    <t xml:space="preserve">TRANSACTION TERMS</t>
  </si>
  <si>
    <t xml:space="preserve">Offer price per share ($)</t>
  </si>
  <si>
    <t xml:space="preserve">Diluted shares acquired (mm)</t>
  </si>
  <si>
    <t xml:space="preserve">Flag: fully diluted may be ~152–153mm (1.85mm unvested restricted stock + 1.37mm options at $25.93 + PSUs, FY2025 10-K). Verify in merger proxy.</t>
  </si>
  <si>
    <t xml:space="preserve">Equity commitment – CD&amp;R Fund XII + McKesson ($mm)</t>
  </si>
  <si>
    <t xml:space="preserve">Committed term debt ($mm)</t>
  </si>
  <si>
    <t xml:space="preserve">New revolver commitment ($mm)</t>
  </si>
  <si>
    <t xml:space="preserve">Matures yr:</t>
  </si>
  <si>
    <t xml:space="preserve">Existing debt refinanced at par ($mm)</t>
  </si>
  <si>
    <t xml:space="preserve">Balance sheet cash at signing ($mm)</t>
  </si>
  <si>
    <t xml:space="preserve">Minimum operating cash ($mm)</t>
  </si>
  <si>
    <t xml:space="preserve">Financing fees (% of committed term debt)</t>
  </si>
  <si>
    <t xml:space="preserve">OID on first-lien TLB (% of par)</t>
  </si>
  <si>
    <t xml:space="preserve">M&amp;A advisory, legal &amp; other fees ($mm)</t>
  </si>
  <si>
    <t xml:space="preserve">UNDERWRITING EBITDA – ADD-BACK DECISIONS (your judgment)</t>
  </si>
  <si>
    <t xml:space="preserve">% of stock-based comp add-back accepted</t>
  </si>
  <si>
    <t xml:space="preserve">Underwriting EBITDA = your own view of real cash earnings (used for distress, FCF, recovery).</t>
  </si>
  <si>
    <t xml:space="preserve">% of restructuring/acquisition/integration add-back accepted</t>
  </si>
  <si>
    <t xml:space="preserve">% of loss on debt extinguishment accepted</t>
  </si>
  <si>
    <t xml:space="preserve">Run-rate synergy add-back – Credit Agreement EBITDA (% of EBITDA)</t>
  </si>
  <si>
    <t xml:space="preserve">Cap:</t>
  </si>
  <si>
    <t xml:space="preserve">Credit Agreement EBITDA = what the loan documents let the borrower report (used for covenant tests only).</t>
  </si>
  <si>
    <t xml:space="preserve">CAPITAL STRUCTURE SCENARIOS ($mm) – tranche split not yet public</t>
  </si>
  <si>
    <t xml:space="preserve">Tranche</t>
  </si>
  <si>
    <t xml:space="preserve">A: All 1L</t>
  </si>
  <si>
    <t xml:space="preserve">B: 1L+Unsec</t>
  </si>
  <si>
    <t xml:space="preserve">C: 1L+2L</t>
  </si>
  <si>
    <t xml:space="preserve">Selected</t>
  </si>
  <si>
    <t xml:space="preserve">First-lien term loan B</t>
  </si>
  <si>
    <t xml:space="preserve">Second-lien term loan</t>
  </si>
  <si>
    <t xml:space="preserve">Senior unsecured notes</t>
  </si>
  <si>
    <t xml:space="preserve">Total term debt</t>
  </si>
  <si>
    <t xml:space="preserve">PRICING (assumed – new loan not yet syndicated)</t>
  </si>
  <si>
    <t xml:space="preserve">First-lien TLB spread over SOFR</t>
  </si>
  <si>
    <t xml:space="preserve">Second-lien TL spread over SOFR</t>
  </si>
  <si>
    <t xml:space="preserve">Senior unsecured notes fixed coupon</t>
  </si>
  <si>
    <t xml:space="preserve">Revolver spread over SOFR</t>
  </si>
  <si>
    <t xml:space="preserve">Revolver undrawn commitment fee</t>
  </si>
  <si>
    <t xml:space="preserve">SOFR floor</t>
  </si>
  <si>
    <t xml:space="preserve">1L TLB mandatory amortization (% of original par per year)</t>
  </si>
  <si>
    <t xml:space="preserve">Excess cash flow sweep to 1L TLB</t>
  </si>
  <si>
    <t xml:space="preserve">SOFR PATH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</si>
  <si>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</si>
  <si>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</si>
  <si>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</si>
  <si>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</si>
  <si>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</si>
  <si>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</si>
  <si>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</si>
  <si>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</si>
  <si>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Base SOFR</t>
  </si>
  <si>
    <t xml:space="preserve">Stress SOFR</t>
  </si>
  <si>
    <t xml:space="preserve">Selected SOFR</t>
  </si>
  <si>
    <t xml:space="preserve">OPERATING CASES</t>
  </si>
  <si>
    <t xml:space="preserve">Driver</t>
  </si>
  <si>
    <t xml:space="preserve">Revenue growth – Management</t>
  </si>
  <si>
    <t xml:space="preserve">Revenue growth – Lender Base</t>
  </si>
  <si>
    <t xml:space="preserve">Revenue growth – Downside</t>
  </si>
  <si>
    <t xml:space="preserve">Revenue growth – Selected</t>
  </si>
  <si>
    <t xml:space="preserve">Underwriting EBITDA margin change vs PF LTM – Management</t>
  </si>
  <si>
    <t xml:space="preserve">Underwriting EBITDA margin change vs PF LTM – Lender Base</t>
  </si>
  <si>
    <t xml:space="preserve">Underwriting EBITDA margin change vs PF LTM – Downside</t>
  </si>
  <si>
    <t xml:space="preserve">Margin change – Selected</t>
  </si>
  <si>
    <t xml:space="preserve">OTHER OPERATING ASSUMPTIONS</t>
  </si>
  <si>
    <t xml:space="preserve">Capex (% of revenue)</t>
  </si>
  <si>
    <t xml:space="preserve">D&amp;A for tax purposes (% of revenue)</t>
  </si>
  <si>
    <t xml:space="preserve">Net working capital (% of incremental revenue)</t>
  </si>
  <si>
    <t xml:space="preserve">Cash tax rate</t>
  </si>
  <si>
    <t xml:space="preserve">Int. cap:</t>
  </si>
  <si>
    <t xml:space="preserve">of Underwriting EBITDA (Sec. 163(j) interest deduction limit)</t>
  </si>
  <si>
    <t xml:space="preserve">Cash rent – operating leases (% of revenue)</t>
  </si>
  <si>
    <t xml:space="preserve">COVENANT &amp; DISTRESS TRIGGERS</t>
  </si>
  <si>
    <t xml:space="preserve">Revolver springing 1L net leverage covenant (x) – on Credit Agreement EBITDA</t>
  </si>
  <si>
    <t xml:space="preserve">Distress trigger: FCCR below (x)</t>
  </si>
  <si>
    <t xml:space="preserve">Distress trigger: total net leverage above (x)</t>
  </si>
  <si>
    <t xml:space="preserve">Distress trigger: liquidity below ($mm)</t>
  </si>
  <si>
    <t xml:space="preserve">SOURCES &amp; USES AT CLOSE ($mm)</t>
  </si>
  <si>
    <t xml:space="preserve">$mm</t>
  </si>
  <si>
    <t xml:space="preserve">% total</t>
  </si>
  <si>
    <t xml:space="preserve">Uses</t>
  </si>
  <si>
    <t xml:space="preserve">Purchase of equity (price × diluted shares)</t>
  </si>
  <si>
    <t xml:space="preserve">Refinance existing 1L TLB + senior notes</t>
  </si>
  <si>
    <t xml:space="preserve">Financing fees</t>
  </si>
  <si>
    <t xml:space="preserve">Revolver draw at close</t>
  </si>
  <si>
    <t xml:space="preserve">OID on first-lien TLB</t>
  </si>
  <si>
    <t xml:space="preserve">Sponsor + McKesson equity</t>
  </si>
  <si>
    <t xml:space="preserve">M&amp;A advisory, legal &amp; other</t>
  </si>
  <si>
    <t xml:space="preserve">Existing balance sheet cash</t>
  </si>
  <si>
    <t xml:space="preserve">Cash to balance sheet at close</t>
  </si>
  <si>
    <t xml:space="preserve">Total sources</t>
  </si>
  <si>
    <t xml:space="preserve">Total uses</t>
  </si>
  <si>
    <t xml:space="preserve">Uses before cash to balance sheet</t>
  </si>
  <si>
    <t xml:space="preserve">IMPLIED VALUATION &amp; CUSHION</t>
  </si>
  <si>
    <t xml:space="preserve">Purchase enterprise value (equity + existing debt – cash)</t>
  </si>
  <si>
    <t xml:space="preserve">Press release: ~$5.8bn EV, ~37% premium</t>
  </si>
  <si>
    <t xml:space="preserve">PF LTM Jun-26 Management Adj. EBITDA</t>
  </si>
  <si>
    <t xml:space="preserve">PF LTM Jun-26 Underwriting EBITDA</t>
  </si>
  <si>
    <t xml:space="preserve">Purchase multiple – EV / Management Adj. EBITDA</t>
  </si>
  <si>
    <t xml:space="preserve">Purchase multiple – EV / Underwriting EBITDA</t>
  </si>
  <si>
    <t xml:space="preserve">Total funded debt at close (term debt + revolver draw)</t>
  </si>
  <si>
    <t xml:space="preserve">Total debt / Management Adj. EBITDA (market-comparable basis)</t>
  </si>
  <si>
    <t xml:space="preserve">Total debt / Underwriting EBITDA (our risk view)</t>
  </si>
  <si>
    <t xml:space="preserve">Equity cushion (equity / total capitalization)</t>
  </si>
  <si>
    <t xml:space="preserve">Historical Financials &amp; EBITDA Adjustments ($mm)</t>
  </si>
  <si>
    <t xml:space="preserve">LTM Jun-26 = FY2025 + H1 2026 – H1 2025 · Balance sheet columns show period-end balances (LTM column = Jun-30-2026)</t>
  </si>
  <si>
    <t xml:space="preserve">Income statement</t>
  </si>
  <si>
    <t xml:space="preserve">FY2023</t>
  </si>
  <si>
    <t xml:space="preserve">FY2024</t>
  </si>
  <si>
    <t xml:space="preserve">FY2025</t>
  </si>
  <si>
    <t xml:space="preserve">H1 2025</t>
  </si>
  <si>
    <t xml:space="preserve">H1 2026</t>
  </si>
  <si>
    <t xml:space="preserve">LTM Jun-26</t>
  </si>
  <si>
    <t xml:space="preserve">Source</t>
  </si>
  <si>
    <t xml:space="preserve">Net revenue</t>
  </si>
  <si>
    <t xml:space="preserve">Source: FY2025 Form 10-K (filed Feb-2026), Consolidated Financial Statements. https://www.sec.gov/Archives/edgar/data/1014739/000101473926000008/bios-20251231.htm | H1: Source: Q2 2026 Form 10-Q (six months ended Jun-30-2026). https://www.sec.gov/Archives/edgar/data/0001014739/000101473926000023/bios-20260630.htm</t>
  </si>
  <si>
    <t xml:space="preserve">Cost of revenue</t>
  </si>
  <si>
    <t xml:space="preserve">Gross profit</t>
  </si>
  <si>
    <t xml:space="preserve">Gross margin</t>
  </si>
  <si>
    <t xml:space="preserve">Selling, general &amp; administrative</t>
  </si>
  <si>
    <t xml:space="preserve">Depreciation &amp; amortization (opex line)</t>
  </si>
  <si>
    <t xml:space="preserve">Operating income</t>
  </si>
  <si>
    <t xml:space="preserve">Interest expense, net</t>
  </si>
  <si>
    <t xml:space="preserve">Equity in earnings of joint ventures</t>
  </si>
  <si>
    <t xml:space="preserve">Other, net</t>
  </si>
  <si>
    <t xml:space="preserve">Source: FY2025 Form 10-K (filed Feb-2026), Consolidated Financial Statements. https://www.sec.gov/Archives/edgar/data/1014739/000101473926000008/bios-20251231.htm | H1: Source: Q2 2026 Form 10-Q (six months ended Jun-30-2026). https://www.sec.gov/Archives/edgar/data/0001014739/000101473926000023/bios-20260630.htm FY2023 includes Amedisys merger termination fee gain.</t>
  </si>
  <si>
    <t xml:space="preserve">Pre-tax income</t>
  </si>
  <si>
    <t xml:space="preserve">Income tax expense</t>
  </si>
  <si>
    <t xml:space="preserve">Net income</t>
  </si>
  <si>
    <t xml:space="preserve">Company-reported net income</t>
  </si>
  <si>
    <t xml:space="preserve">Check vs reported net income (should be zero)</t>
  </si>
  <si>
    <t xml:space="preserve">EBITDA reconciliation</t>
  </si>
  <si>
    <t xml:space="preserve">+ Interest expense, net</t>
  </si>
  <si>
    <t xml:space="preserve">+ Income tax expense</t>
  </si>
  <si>
    <t xml:space="preserve">+ Depreciation &amp; amortization (total, incl. in cost of revenue)</t>
  </si>
  <si>
    <t xml:space="preserve">Source: FY2025 Form 10-K (filed Feb-2026), Consolidated Financial Statements. https://www.sec.gov/Archives/edgar/data/1014739/000101473926000008/bios-20251231.htm Cash flow statement D&amp;A (company uses this figure in its EBITDA).</t>
  </si>
  <si>
    <t xml:space="preserve">EBITDA</t>
  </si>
  <si>
    <t xml:space="preserve">Company-reported EBITDA</t>
  </si>
  <si>
    <t xml:space="preserve">Source: FY2024 earnings release (8-K Ex. 99.1), Adjusted EBITDA reconciliation. https://www.sec.gov/Archives/edgar/data/1014739/000101473925000008/exhibit991-12312024.htm | Source: FY2025 earnings release (8-K Ex. 99.1, Feb-24-2026), Adjusted EBITDA reconciliation. | Source: Q2 2026 earnings release (8-K Ex. 99.1, Jul-29-2026), six-month Adjusted EBITDA reconciliation.</t>
  </si>
  <si>
    <t xml:space="preserve">Check (should be zero)</t>
  </si>
  <si>
    <t xml:space="preserve">Management add-backs:</t>
  </si>
  <si>
    <t xml:space="preserve">+ Stock-based incentive compensation</t>
  </si>
  <si>
    <t xml:space="preserve">+ Loss on extinguishment of debt</t>
  </si>
  <si>
    <t xml:space="preserve">+ Restructuring, acquisition, integration &amp; other</t>
  </si>
  <si>
    <t xml:space="preserve">FY2023 is negative: Amedisys merger termination fee, net of merger costs (Source: FY2024 earnings release (8-K Ex. 99.1), Adjusted EBITDA reconciliation. https://www.sec.gov/Archives/edgar/data/1014739/000101473925000008/exhibit991-12312024.htm)</t>
  </si>
  <si>
    <t xml:space="preserve">Management Adjusted EBITDA</t>
  </si>
  <si>
    <t xml:space="preserve">Company-reported Adjusted EBITDA</t>
  </si>
  <si>
    <t xml:space="preserve">Management Adj. EBITDA margin</t>
  </si>
  <si>
    <t xml:space="preserve">UNDERWRITER EBITDA (CARVE-filtered summary)</t>
  </si>
  <si>
    <t xml:space="preserve">Treatment</t>
  </si>
  <si>
    <t xml:space="preserve">Baseline EBITDA (GAAP net income + interest + taxes + D&amp;A)</t>
  </si>
  <si>
    <t xml:space="preserve">Full bridge, CARVE scorecard and memo detail: EBITDA_Addbacks tab.</t>
  </si>
  <si>
    <t xml:space="preserve">Non-operating: strip gains / accepted losses (A1 + A2 + A5)</t>
  </si>
  <si>
    <t xml:space="preserve">Gains stripped symmetrically; non-operating losses kept unless they pass all five CARVE checks.</t>
  </si>
  <si>
    <t xml:space="preserve">Compensation &amp; restructuring accepted (A3 + A4)</t>
  </si>
  <si>
    <t xml:space="preserve">SBC and restructuring fail CARVE (Recurring / Excluded) – rejected.</t>
  </si>
  <si>
    <t xml:space="preserve">JV earnings to cash basis (A6)</t>
  </si>
  <si>
    <t xml:space="preserve">Only JV cash actually received counts.</t>
  </si>
  <si>
    <t xml:space="preserve">Synergies &amp; capex reclassification (A7 + A8)</t>
  </si>
  <si>
    <t xml:space="preserve">Speculative synergies disallowed; no capex misclassification found.</t>
  </si>
  <si>
    <t xml:space="preserve">Underwriting EBITDA</t>
  </si>
  <si>
    <t xml:space="preserve">Underwriting EBITDA margin</t>
  </si>
  <si>
    <t xml:space="preserve">Haircut vs Management Adj. EBITDA ($)</t>
  </si>
  <si>
    <t xml:space="preserve">Haircut vs Management Adj. EBITDA (%)</t>
  </si>
  <si>
    <t xml:space="preserve">Add-back recurrence test</t>
  </si>
  <si>
    <t xml:space="preserve">SBC as % of Management Adj. EBITDA</t>
  </si>
  <si>
    <t xml:space="preserve">Restructuring &amp; other as % of Management Adj. EBITDA</t>
  </si>
  <si>
    <t xml:space="preserve">Cash flow</t>
  </si>
  <si>
    <t xml:space="preserve">Cash from operations</t>
  </si>
  <si>
    <t xml:space="preserve">Capital expenditures</t>
  </si>
  <si>
    <t xml:space="preserve">Free cash flow (CFO – capex)</t>
  </si>
  <si>
    <t xml:space="preserve">Capex % of revenue</t>
  </si>
  <si>
    <t xml:space="preserve">FCF conversion (FCF / Underwriting EBITDA)</t>
  </si>
  <si>
    <t xml:space="preserve">Business acquisitions</t>
  </si>
  <si>
    <t xml:space="preserve">Share repurchases</t>
  </si>
  <si>
    <t xml:space="preserve">Cash interest paid</t>
  </si>
  <si>
    <t xml:space="preserve">Cash taxes paid</t>
  </si>
  <si>
    <t xml:space="preserve">Balance sheet &amp; credit stats</t>
  </si>
  <si>
    <t xml:space="preserve">Dec-23</t>
  </si>
  <si>
    <t xml:space="preserve">Dec-24</t>
  </si>
  <si>
    <t xml:space="preserve">Dec-25</t>
  </si>
  <si>
    <t xml:space="preserve">Jun-26</t>
  </si>
  <si>
    <t xml:space="preserve">Cash and cash equivalents</t>
  </si>
  <si>
    <t xml:space="preserve">Source: FY2023 Form 10-K, Consolidated Balance Sheet / Note: Indebtedness. (Dec-23) | Source: FY2025 Form 10-K (filed Feb-2026), Consolidated Financial Statements. https://www.sec.gov/Archives/edgar/data/1014739/000101473926000008/bios-20251231.htm (Dec-24, Dec-25) | Source: Q2 2026 Form 10-Q (six months ended Jun-30-2026). https://www.sec.gov/Archives/edgar/data/0001014739/000101473926000023/bios-20260630.htm (Jun-26)</t>
  </si>
  <si>
    <t xml:space="preserve">Accounts receivable, net</t>
  </si>
  <si>
    <t xml:space="preserve">Inventories</t>
  </si>
  <si>
    <t xml:space="preserve">Accounts payable</t>
  </si>
  <si>
    <t xml:space="preserve">Net working capital (AR + inventory – AP)</t>
  </si>
  <si>
    <t xml:space="preserve">Total debt (principal: 1L TLB + senior notes)</t>
  </si>
  <si>
    <t xml:space="preserve">Net debt</t>
  </si>
  <si>
    <t xml:space="preserve">Total stockholders' equity</t>
  </si>
  <si>
    <t xml:space="preserve">Gross leverage – Management Adj. EBITDA</t>
  </si>
  <si>
    <t xml:space="preserve">Pre-LBO standalone credit profile – compare with Cap_Stack pro forma.</t>
  </si>
  <si>
    <t xml:space="preserve">Gross leverage – Underwriting EBITDA</t>
  </si>
  <si>
    <t xml:space="preserve">Net leverage – Underwriting EBITDA</t>
  </si>
  <si>
    <t xml:space="preserve">Interest coverage (Underwriting EBITDA / interest)</t>
  </si>
  <si>
    <t xml:space="preserve">NWC % of revenue</t>
  </si>
  <si>
    <t xml:space="preserve">CREDIT AGREEMENT EBITDA (covenant basis)</t>
  </si>
  <si>
    <t xml:space="preserve">Credit agreement clause</t>
  </si>
  <si>
    <t xml:space="preserve">EBITDA (GAAP-based)</t>
  </si>
  <si>
    <t xml:space="preserve">Net income + interest + taxes + D&amp;A (CNI base).</t>
  </si>
  <si>
    <t xml:space="preserve">+ Stock-based compensation</t>
  </si>
  <si>
    <t xml:space="preserve">CNI (n), (q): equity-based compensation excluded.</t>
  </si>
  <si>
    <t xml:space="preserve">CNI (j): gains/losses on extinguishment of debt excluded.</t>
  </si>
  <si>
    <t xml:space="preserve">+ Restructuring, transaction &amp; integration (gains also removed)</t>
  </si>
  <si>
    <t xml:space="preserve">CNI (a), (c): non-recurring items, restructuring, integration, transaction costs excluded – both losses AND gains.</t>
  </si>
  <si>
    <t xml:space="preserve">– Equity in earnings of joint ventures</t>
  </si>
  <si>
    <t xml:space="preserve">CNI (g): equity-method income excluded…</t>
  </si>
  <si>
    <t xml:space="preserve">+ Cash distributions received from joint ventures</t>
  </si>
  <si>
    <t xml:space="preserve">CNI (g): equity-method income replaced by cash actually received. Source: cash flow statements (Source: FY2025 Form 10-K (filed Feb-2026), Consolidated Financial Statements. https://www.sec.gov/Archives/edgar/data/1014739/000101473926000008/bios-20251231.htm | Source: Q2 2026 Form 10-Q (six months ended Jun-30-2026). https://www.sec.gov/Archives/edgar/data/0001014739/000101473926000023/bios-20260630.htm)</t>
  </si>
  <si>
    <t xml:space="preserve">Credit Agreement EBITDA before run-rate synergies</t>
  </si>
  <si>
    <t xml:space="preserve">+ Run-rate synergies (PF LTM only)</t>
  </si>
  <si>
    <t xml:space="preserve">EBITDA (a)(vii): Inputs!B26, capped so synergies ≤ 35% of post-add-back EBITDA (Inputs!D26).</t>
  </si>
  <si>
    <t xml:space="preserve">Credit Agreement EBITDA (covenant basis)</t>
  </si>
  <si>
    <t xml:space="preserve">Not captured (not visible in filings): QoE add-backs (a)(xi), other non-cash charges CNI (l), Section 1.08 pro forma acquisitions. True covenant EBITDA is likely HIGHER.</t>
  </si>
  <si>
    <t xml:space="preserve">Uplift vs Underwriting EBITDA (%)</t>
  </si>
  <si>
    <t xml:space="preserve">Uplift vs Underwriting EBITDA ($)</t>
  </si>
  <si>
    <t xml:space="preserve">Why it matters: covenants are tested on Credit Agreement EBITDA, so reported covenant leverage runs below real (underwriting) leverage. The gap in row 90 is how much the documents flatter the borrower.</t>
  </si>
  <si>
    <t xml:space="preserve">Source of definitions: Source: Fourth Amendment to A&amp;R First Lien Credit Agreement (Sep-22-2025), Exhibit A conformed credit agreement. Exhibit A, 'Consolidated EBITDA' (PDF pp. 40–42) and 'Consolidated Net Income' (PDF pp. 44–46). The new LBO credit agreement will replace this; terms are typically similar or looser.</t>
  </si>
  <si>
    <t xml:space="preserve">Underwriter EBITDA – CARVE Bridge ($mm)</t>
  </si>
  <si>
    <t xml:space="preserve">GAAP net income → Baseline EBITDA → Underwriter EBITDA · Every add-back must pass Cash, Auditable, Recurring, Verifiable, Excluded-from-operations; gains stripped symmetrically</t>
  </si>
  <si>
    <t xml:space="preserve">Line</t>
  </si>
  <si>
    <t xml:space="preserve">% accepted</t>
  </si>
  <si>
    <t xml:space="preserve">STEP 1: GAAP NET INCOME → BASELINE EBITDA</t>
  </si>
  <si>
    <t xml:space="preserve">GAAP net income</t>
  </si>
  <si>
    <t xml:space="preserve">+ Depreciation &amp; amortization (total)</t>
  </si>
  <si>
    <t xml:space="preserve">Baseline EBITDA</t>
  </si>
  <si>
    <t xml:space="preserve">Check vs company-reported EBITDA (should be zero)</t>
  </si>
  <si>
    <t xml:space="preserve">STEP 2: CARVE ADJUSTMENTS</t>
  </si>
  <si>
    <t xml:space="preserve">A1  – Strip non-operating gains (Amedisys fee; other gains in 'Other, net')</t>
  </si>
  <si>
    <t xml:space="preserve">n/a</t>
  </si>
  <si>
    <t xml:space="preserve">Symmetry rule: irregular gains are deducted as aggressively as losses would be added back. Mechanical – always 100%.</t>
  </si>
  <si>
    <t xml:space="preserve">A2  + Loss on extinguishment of debt × % accepted</t>
  </si>
  <si>
    <t xml:space="preserve">Non-cash and financing-related, but FAILS Recurring (FY24 $0.4mm, FY25 $4.7mm). Rejected per CARVE. Sensitivity row 59.</t>
  </si>
  <si>
    <t xml:space="preserve">A3  + Stock-based compensation × % accepted</t>
  </si>
  <si>
    <t xml:space="preserve">Non-cash, but FAILS Recurring (every year) and Excluded-from-operations (needed to retain staff). Replacement-labor rule: market pay for these people must stay in the cost base. Rejected.</t>
  </si>
  <si>
    <t xml:space="preserve">A4  + Restructuring, acquisition &amp; integration (operating portion) × % accepted</t>
  </si>
  <si>
    <t xml:space="preserve">Cash cost every period; OPCH acquires regularly; supported only by management's schedule (no GL). FAILS C, R, V, E. Rejected.</t>
  </si>
  <si>
    <t xml:space="preserve">A5  + Non-operating losses: merger costs, BioScrip unclaimed-property accruals × % accepted</t>
  </si>
  <si>
    <t xml:space="preserve">Cash; unclaimed-property accruals are regulatory compliance (fails Excluded-from-operations); merger costs recur with M&amp;A strategy. Kept as cost.</t>
  </si>
  <si>
    <t xml:space="preserve">A6  ± JV equity earnings replaced by cash distributions received</t>
  </si>
  <si>
    <t xml:space="preserve">Equity-method income is non-cash (fails Cash check). Only distributions actually received count. Mechanical – always applied.</t>
  </si>
  <si>
    <t xml:space="preserve">A7  + Run-rate synergies / pro forma uplift × % accepted</t>
  </si>
  <si>
    <t xml:space="preserve">Speculative – not executed baseline performance. Disallowed.</t>
  </si>
  <si>
    <t xml:space="preserve">A8  + Repairs misclassified as opex (capitalisable) – add back, captured in capex</t>
  </si>
  <si>
    <t xml:space="preserve">No repair/maintenance spikes disclosed; capex steady at 0.7–1.0% of revenue. Enter amounts here if a QoE identifies any (and raise capex %).</t>
  </si>
  <si>
    <t xml:space="preserve">Total CARVE adjustments</t>
  </si>
  <si>
    <t xml:space="preserve">LTM column uses LTM memo amounts directly (H2-25 + H1-26), so gain/loss tests apply to the LTM period itself.</t>
  </si>
  <si>
    <t xml:space="preserve">UNDERWRITER EBITDA</t>
  </si>
  <si>
    <t xml:space="preserve">Underwriter EBITDA margin</t>
  </si>
  <si>
    <t xml:space="preserve">Haircut vs management ($)</t>
  </si>
  <si>
    <t xml:space="preserve">Haircut vs management (%)</t>
  </si>
  <si>
    <t xml:space="preserve">Check vs Historicals row 43 (should be zero)</t>
  </si>
  <si>
    <t xml:space="preserve">STEP 3: EBITDAR (rent pivot for fixed-charge coverage)</t>
  </si>
  <si>
    <t xml:space="preserve">+ Cash rent – operating leases</t>
  </si>
  <si>
    <t xml:space="preserve">Cash paid for operating leases (supplemental cash flow disclosure). Source: FY2025 Form 10-K (filed Feb-2026), Consolidated Financial Statements. https://www.sec.gov/Archives/edgar/data/1014739/000101473926000008/bios-20251231.htm | Source: Q2 2026 Form 10-Q (six months ended Jun-30-2026). https://www.sec.gov/Archives/edgar/data/0001014739/000101473926000023/bios-20260630.htm</t>
  </si>
  <si>
    <t xml:space="preserve">Underwriter EBITDAR</t>
  </si>
  <si>
    <t xml:space="preserve">Feeds FCCR on Credit_Stats: (EBITDAR – capex – taxes) / (debt service + rent). Rent % of revenue on Inputs!B67.</t>
  </si>
  <si>
    <t xml:space="preserve">Rent as % of EBITDAR</t>
  </si>
  <si>
    <t xml:space="preserve">MEMO: COMPONENTS OF 'OTHER, NET' (non-operating line inside Baseline EBITDA)</t>
  </si>
  <si>
    <t xml:space="preserve">Other, net – as reported (income positive)</t>
  </si>
  <si>
    <t xml:space="preserve">Amedisys termination fee received (gain)</t>
  </si>
  <si>
    <t xml:space="preserve">FY2025 10-K: $106.0mm Termination Fee received on behalf of Amedisys, recorded in Other, net (FY2023).</t>
  </si>
  <si>
    <t xml:space="preserve">Merger-related expenses (loss, shown positive)</t>
  </si>
  <si>
    <t xml:space="preserve">FY2025 10-K: $21.1mm merger-related expenses recorded in Other, net (FY2023).</t>
  </si>
  <si>
    <t xml:space="preserve">Loss on extinguishment of debt (shown positive)</t>
  </si>
  <si>
    <t xml:space="preserve">Residual: BioScrip unclaimed-property accruals / reversals &amp; other</t>
  </si>
  <si>
    <t xml:space="preserve">FY2025 10-K MD&amp;A: accruals for a pre-merger BioScrip unclaimed-property voluntary disclosure program; Q2-26 10-Q: reversal of prior-year accruals. Positive = gain (stripped in A1); negative = loss (kept, A5).</t>
  </si>
  <si>
    <t xml:space="preserve">CARVE SCORECARD</t>
  </si>
  <si>
    <t xml:space="preserve">Adjustment</t>
  </si>
  <si>
    <t xml:space="preserve">Cash</t>
  </si>
  <si>
    <t xml:space="preserve">Auditable</t>
  </si>
  <si>
    <t xml:space="preserve">Recurring?</t>
  </si>
  <si>
    <t xml:space="preserve">Verifiable</t>
  </si>
  <si>
    <t xml:space="preserve">Excl. ops</t>
  </si>
  <si>
    <t xml:space="preserve">Decision</t>
  </si>
  <si>
    <t xml:space="preserve">Reason</t>
  </si>
  <si>
    <t xml:space="preserve">Amedisys termination fee (gain)</t>
  </si>
  <si>
    <t xml:space="preserve">Cash in</t>
  </si>
  <si>
    <t xml:space="preserve">Yes</t>
  </si>
  <si>
    <t xml:space="preserve">One-time</t>
  </si>
  <si>
    <t xml:space="preserve">STRIP GAIN</t>
  </si>
  <si>
    <t xml:space="preserve">Irregular gain – removed under the symmetry rule.</t>
  </si>
  <si>
    <t xml:space="preserve">Other non-operating gains (unclaimed-property reversals, misc.)</t>
  </si>
  <si>
    <t xml:space="preserve">Mixed</t>
  </si>
  <si>
    <t xml:space="preserve">Irregular</t>
  </si>
  <si>
    <t xml:space="preserve">Partly</t>
  </si>
  <si>
    <t xml:space="preserve">Irregular gains never count toward debt capacity.</t>
  </si>
  <si>
    <t xml:space="preserve">Loss on extinguishment of debt</t>
  </si>
  <si>
    <t xml:space="preserve">Non-cash ✓</t>
  </si>
  <si>
    <t xml:space="preserve">Yes ✓</t>
  </si>
  <si>
    <t xml:space="preserve">FY24 &amp; FY25 ✗</t>
  </si>
  <si>
    <t xml:space="preserve">REJECT</t>
  </si>
  <si>
    <t xml:space="preserve">Fails Recurring. Note: financing write-off that cannot recur after close – the one call where the rule is arguably too strict (impact ~$4.7mm).</t>
  </si>
  <si>
    <t xml:space="preserve">Stock-based compensation</t>
  </si>
  <si>
    <t xml:space="preserve">Every year ✗</t>
  </si>
  <si>
    <t xml:space="preserve">No ✗</t>
  </si>
  <si>
    <t xml:space="preserve">Replacement-labor rule: employees must be paid market compensation after the buyout.</t>
  </si>
  <si>
    <t xml:space="preserve">Restructuring, acquisition &amp; integration</t>
  </si>
  <si>
    <t xml:space="preserve">Cash ✗</t>
  </si>
  <si>
    <t xml:space="preserve">Every period ✗</t>
  </si>
  <si>
    <t xml:space="preserve">Mgmt schedule ✗</t>
  </si>
  <si>
    <t xml:space="preserve">Recurring cash cost of an acquisitive strategy.</t>
  </si>
  <si>
    <t xml:space="preserve">Merger costs; BioScrip unclaimed-property accruals</t>
  </si>
  <si>
    <t xml:space="preserve">Recurs ✗</t>
  </si>
  <si>
    <t xml:space="preserve">Compliance ✗</t>
  </si>
  <si>
    <t xml:space="preserve">KEEP AS COST</t>
  </si>
  <si>
    <t xml:space="preserve">Regulatory compliance and M&amp;A costs are operating realities.</t>
  </si>
  <si>
    <t xml:space="preserve">JV equity earnings (non-cash portion)</t>
  </si>
  <si>
    <t xml:space="preserve">Non-cash income ✗</t>
  </si>
  <si>
    <t xml:space="preserve">Every year</t>
  </si>
  <si>
    <t xml:space="preserve">CASH BASIS</t>
  </si>
  <si>
    <t xml:space="preserve">Count only distributions received.</t>
  </si>
  <si>
    <t xml:space="preserve">Run-rate synergies / pro forma revenue</t>
  </si>
  <si>
    <t xml:space="preserve">Not realised ✗</t>
  </si>
  <si>
    <t xml:space="preserve">Speculative synergies and paper-only growth disallowed.</t>
  </si>
  <si>
    <t xml:space="preserve">Owner / under-market replacement labor</t>
  </si>
  <si>
    <t xml:space="preserve">N/A</t>
  </si>
  <si>
    <t xml:space="preserve">Public company: executives paid market W-2 pay through SG&amp;A; no owner salary add-back claimed. SBC handled in row 47.</t>
  </si>
  <si>
    <t xml:space="preserve">Capex misclassified as repairs</t>
  </si>
  <si>
    <t xml:space="preserve">NONE FOUND</t>
  </si>
  <si>
    <t xml:space="preserve">No repair spikes disclosed. Row A8 left at zero.</t>
  </si>
  <si>
    <t xml:space="preserve">SENSITIVITY: WHAT IF REJECTED ITEMS WERE ACCEPTED? (LTM, leverage at close)</t>
  </si>
  <si>
    <t xml:space="preserve">Scenario</t>
  </si>
  <si>
    <t xml:space="preserve">Add-back</t>
  </si>
  <si>
    <t xml:space="preserve">Debt / EBITDA</t>
  </si>
  <si>
    <t xml:space="preserve">Net debt / EBITDA</t>
  </si>
  <si>
    <t xml:space="preserve">Strict CARVE (base case)</t>
  </si>
  <si>
    <t xml:space="preserve">+ Accept loss on debt extinguishment</t>
  </si>
  <si>
    <t xml:space="preserve">+ Accept 100% of stock-based comp</t>
  </si>
  <si>
    <t xml:space="preserve">+ Accept both</t>
  </si>
  <si>
    <t xml:space="preserve">Management Adjusted EBITDA (reference)</t>
  </si>
  <si>
    <t xml:space="preserve">LIMITATIONS</t>
  </si>
  <si>
    <t xml:space="preserve">• Built from public filings only (10-K, 10-Q, earnings releases). No GL, payroll or invoice detail – a quality-of-earnings report is required to validate before commitment.</t>
  </si>
  <si>
    <t xml:space="preserve">• 'Other, net' split relies on 10-K/10-Q MD&amp;A disclosures; the FY2024 residual (+$5.2mm) is undisclosed and treated as a gain (stripped).</t>
  </si>
  <si>
    <t xml:space="preserve">• LTM tests are applied to LTM amounts (H2-2025 + H1-2026), not by netting annual tests.</t>
  </si>
  <si>
    <t xml:space="preserve">Pro Forma Capital Structure at Close ($mm)</t>
  </si>
  <si>
    <t xml:space="preserve">Structure scenario selected on Inputs!B6 · Leverage on PF LTM Jun-26 EBITDA · Rate = SOFR (Year 1) + spread</t>
  </si>
  <si>
    <t xml:space="preserve">Structure:</t>
  </si>
  <si>
    <t xml:space="preserve">PF LTM Underwriting EBITDA</t>
  </si>
  <si>
    <t xml:space="preserve">PF LTM Management Adj. EBITDA</t>
  </si>
  <si>
    <t xml:space="preserve">Year 1 SOFR (selected path)</t>
  </si>
  <si>
    <t xml:space="preserve">Amount</t>
  </si>
  <si>
    <t xml:space="preserve">Pricing</t>
  </si>
  <si>
    <t xml:space="preserve">All-in rate</t>
  </si>
  <si>
    <t xml:space="preserve">Maturity</t>
  </si>
  <si>
    <t xml:space="preserve">Ranking</t>
  </si>
  <si>
    <t xml:space="preserve">Cum. debt</t>
  </si>
  <si>
    <t xml:space="preserve">x Underwriting EBITDA</t>
  </si>
  <si>
    <t xml:space="preserve">x Mgmt EBITDA</t>
  </si>
  <si>
    <t xml:space="preserve">Year-1 interest</t>
  </si>
  <si>
    <t xml:space="preserve">Revolver ($500mm commitment, drawn)</t>
  </si>
  <si>
    <t xml:space="preserve">~5 yr (assumed)</t>
  </si>
  <si>
    <t xml:space="preserve">1st lien (pari)</t>
  </si>
  <si>
    <t xml:space="preserve">7 yr (assumed)</t>
  </si>
  <si>
    <t xml:space="preserve">Total first-lien debt</t>
  </si>
  <si>
    <t xml:space="preserve">8 yr (assumed)</t>
  </si>
  <si>
    <t xml:space="preserve">2nd lien</t>
  </si>
  <si>
    <t xml:space="preserve">Total secured debt</t>
  </si>
  <si>
    <t xml:space="preserve">Unsecured</t>
  </si>
  <si>
    <t xml:space="preserve">Total debt</t>
  </si>
  <si>
    <t xml:space="preserve">Less: cash at close</t>
  </si>
  <si>
    <t xml:space="preserve">Total capitalization</t>
  </si>
  <si>
    <t xml:space="preserve">Equity cushion beneath all debt</t>
  </si>
  <si>
    <t xml:space="preserve">Value cushion beneath first lien (1 – 1L debt / total cap)</t>
  </si>
  <si>
    <t xml:space="preserve">Year-1 interest coverage (Underwriting EBITDA / interest)</t>
  </si>
  <si>
    <t xml:space="preserve">Weighted average cost of debt</t>
  </si>
  <si>
    <t xml:space="preserve">Total debt / Credit Agreement EBITDA (as reported to lenders)</t>
  </si>
  <si>
    <t xml:space="preserve">Pre-deal vs pro forma</t>
  </si>
  <si>
    <t xml:space="preserve">Pre-deal (Jun-26)</t>
  </si>
  <si>
    <t xml:space="preserve">Pro forma</t>
  </si>
  <si>
    <t xml:space="preserve">Change</t>
  </si>
  <si>
    <t xml:space="preserve">Total debt / Underwriting EBITDA</t>
  </si>
  <si>
    <t xml:space="preserve">Net debt / Underwriting EBITDA</t>
  </si>
  <si>
    <t xml:space="preserve">Annual interest expense</t>
  </si>
  <si>
    <t xml:space="preserve">Pre-deal: 1L TLB $672.9mm at SOFR+175 (5.37%, due Sep-2032) + $500mm 4.375% notes (due Oct-2029); both repaid at close. Source: Q2 2026 Form 10-Q (six months ended Jun-30-2026). https://www.sec.gov/Archives/edgar/data/0001014739/000101473926000023/bios-20260630.htm</t>
  </si>
  <si>
    <t xml:space="preserve">Projections &amp; Debt Schedule ($mm)</t>
  </si>
  <si>
    <t xml:space="preserve">Year 0 = pro forma close on LTM Jun-26 · Interest on beginning balances (no circularity) · Case, structure and SOFR set on Inputs</t>
  </si>
  <si>
    <t xml:space="preserve">Case:</t>
  </si>
  <si>
    <t xml:space="preserve">Rates:</t>
  </si>
  <si>
    <t xml:space="preserve">PF Close</t>
  </si>
  <si>
    <t xml:space="preserve">Year #</t>
  </si>
  <si>
    <t xml:space="preserve">OPERATING BUILD</t>
  </si>
  <si>
    <t xml:space="preserve">  Growth</t>
  </si>
  <si>
    <t xml:space="preserve">Capex</t>
  </si>
  <si>
    <t xml:space="preserve">D&amp;A (tax)</t>
  </si>
  <si>
    <t xml:space="preserve">Increase in net working capital</t>
  </si>
  <si>
    <t xml:space="preserve">RATES</t>
  </si>
  <si>
    <t xml:space="preserve">SOFR (selected path)</t>
  </si>
  <si>
    <t xml:space="preserve">Reference rate after floor</t>
  </si>
  <si>
    <t xml:space="preserve">INTEREST (on beginning balances)</t>
  </si>
  <si>
    <t xml:space="preserve">Revolver interest + undrawn fee</t>
  </si>
  <si>
    <t xml:space="preserve">First-lien TLB interest</t>
  </si>
  <si>
    <t xml:space="preserve">Second-lien TL interest</t>
  </si>
  <si>
    <t xml:space="preserve">Senior unsecured notes interest</t>
  </si>
  <si>
    <t xml:space="preserve">Total cash interest</t>
  </si>
  <si>
    <t xml:space="preserve">FREE CASH FLOW</t>
  </si>
  <si>
    <t xml:space="preserve">– Cash interest</t>
  </si>
  <si>
    <t xml:space="preserve">– Cash taxes (interest deduction capped at 30% of EBITDA)</t>
  </si>
  <si>
    <t xml:space="preserve">– Capex</t>
  </si>
  <si>
    <t xml:space="preserve">– Increase in NWC</t>
  </si>
  <si>
    <t xml:space="preserve">Free cash flow before debt repayment</t>
  </si>
  <si>
    <t xml:space="preserve">– Mandatory 1L amortization</t>
  </si>
  <si>
    <t xml:space="preserve">FCF after mandatory debt service</t>
  </si>
  <si>
    <t xml:space="preserve">DEBT SCHEDULE</t>
  </si>
  <si>
    <t xml:space="preserve">Revolver – beginning</t>
  </si>
  <si>
    <t xml:space="preserve">Revolver – draw / (repayment)</t>
  </si>
  <si>
    <t xml:space="preserve">Revolver – ending</t>
  </si>
  <si>
    <t xml:space="preserve">1L TLB – beginning</t>
  </si>
  <si>
    <t xml:space="preserve">1L TLB – mandatory amortization</t>
  </si>
  <si>
    <t xml:space="preserve">1L TLB – excess cash flow sweep (50% of the year's excess cash flow)</t>
  </si>
  <si>
    <t xml:space="preserve">1L TLB – ending</t>
  </si>
  <si>
    <t xml:space="preserve">2L TL – beginning (bullet)</t>
  </si>
  <si>
    <t xml:space="preserve">2L TL – ending</t>
  </si>
  <si>
    <t xml:space="preserve">Senior notes – beginning (bullet)</t>
  </si>
  <si>
    <t xml:space="preserve">Senior notes – ending</t>
  </si>
  <si>
    <t xml:space="preserve">CASH</t>
  </si>
  <si>
    <t xml:space="preserve">Cash – beginning</t>
  </si>
  <si>
    <t xml:space="preserve">Cash available above minimum before revolver</t>
  </si>
  <si>
    <t xml:space="preserve">Cash after revolver activity</t>
  </si>
  <si>
    <t xml:space="preserve">Excess cash above minimum</t>
  </si>
  <si>
    <t xml:space="preserve">Cash – ending</t>
  </si>
  <si>
    <t xml:space="preserve">SUMMARY</t>
  </si>
  <si>
    <t xml:space="preserve">Total debt – ending</t>
  </si>
  <si>
    <t xml:space="preserve">First-lien debt – ending (revolver + TLB)</t>
  </si>
  <si>
    <t xml:space="preserve">Net debt – ending</t>
  </si>
  <si>
    <t xml:space="preserve">Liquidity (cash + undrawn revolver)</t>
  </si>
  <si>
    <t xml:space="preserve">Funding shortfall – cash below zero (= default)</t>
  </si>
  <si>
    <t xml:space="preserve">Credit Statistics, Covenant Headroom &amp; Distress Flags</t>
  </si>
  <si>
    <t xml:space="preserve">Flags: 1 = trigger hit · Triggers set on Inputs rows 69–72 · Run all three cases (Inputs!B5) and compare</t>
  </si>
  <si>
    <t xml:space="preserve">Metric</t>
  </si>
  <si>
    <t xml:space="preserve">First-lien debt</t>
  </si>
  <si>
    <t xml:space="preserve">LEVERAGE (underwriting basis unless noted)</t>
  </si>
  <si>
    <t xml:space="preserve">Total gross leverage</t>
  </si>
  <si>
    <t xml:space="preserve">Total net leverage</t>
  </si>
  <si>
    <t xml:space="preserve">First-lien net leverage</t>
  </si>
  <si>
    <t xml:space="preserve">Total net leverage – Credit Agreement basis (as reported)</t>
  </si>
  <si>
    <t xml:space="preserve">COVERAGE &amp; CASH FLOW</t>
  </si>
  <si>
    <t xml:space="preserve">Interest coverage (EBITDA / cash interest)</t>
  </si>
  <si>
    <t xml:space="preserve">FCCR – EBITDAR basis: (EBITDAR – capex – taxes) / (debt service + rent)</t>
  </si>
  <si>
    <t xml:space="preserve">FCF before debt repayment / total debt</t>
  </si>
  <si>
    <t xml:space="preserve">Cumulative debt paydown (% of close)</t>
  </si>
  <si>
    <t xml:space="preserve">COVENANT HEADROOM (tested on Credit Agreement EBITDA – assumed new-deal covenant)</t>
  </si>
  <si>
    <t xml:space="preserve">Covenant: max first-lien net leverage</t>
  </si>
  <si>
    <t xml:space="preserve">First-lien net leverage – covenant basis</t>
  </si>
  <si>
    <t xml:space="preserve">EBITDA cushion before covenant breach (%)</t>
  </si>
  <si>
    <t xml:space="preserve">DISTRESS FLAGS (1 = triggered)</t>
  </si>
  <si>
    <t xml:space="preserve">FCCR below trigger</t>
  </si>
  <si>
    <t xml:space="preserve">Total net leverage above trigger</t>
  </si>
  <si>
    <t xml:space="preserve">Liquidity below trigger</t>
  </si>
  <si>
    <t xml:space="preserve">First-lien covenant breached</t>
  </si>
  <si>
    <t xml:space="preserve">ANY DISTRESS</t>
  </si>
  <si>
    <t xml:space="preserve">First year of distress</t>
  </si>
  <si>
    <t xml:space="preserve">Years in distress (of 7)</t>
  </si>
  <si>
    <t xml:space="preserve">Peak total net leverage</t>
  </si>
  <si>
    <t xml:space="preserve">Minimum FCCR</t>
  </si>
  <si>
    <t xml:space="preserve">Minimum liquidity</t>
  </si>
  <si>
    <t xml:space="preserve">Peak total net leverage – Credit Agreement basis</t>
  </si>
  <si>
    <t xml:space="preserve">Revolver drawn at revolver maturity (refinancing need)</t>
  </si>
  <si>
    <t xml:space="preserve">Distress flags (rows 27–29) use Underwriting EBITDA = economic distress. The covenant flag (row 30) uses Credit Agreement EBITDA = legal breach.</t>
  </si>
  <si>
    <t xml:space="preserve">How to read: run Inputs!B5 = 1, 2, 3 and Inputs!B7 = 1, 2. The R script stress-tests the same mechanics across thousands of paths to estimate PD.</t>
  </si>
  <si>
    <t xml:space="preserve">Distressed Recovery Waterfall, LGD &amp; Expected Loss ($mm)</t>
  </si>
  <si>
    <t xml:space="preserve">Default assumed at the start of the chosen projection year · Revolver assumed drawn at default · Unsecured residual shared pro rata</t>
  </si>
  <si>
    <t xml:space="preserve">DEFAULT ASSUMPTIONS</t>
  </si>
  <si>
    <t xml:space="preserve">Year of default (1–7)</t>
  </si>
  <si>
    <t xml:space="preserve">EBITDA decline from PF LTM Underwriting EBITDA at default</t>
  </si>
  <si>
    <t xml:space="preserve">Distressed EV / EBITDA multiple</t>
  </si>
  <si>
    <t xml:space="preserve">Administrative &amp; professional fees (% of EV)</t>
  </si>
  <si>
    <t xml:space="preserve">Priority claims – taxes, wages ($mm)</t>
  </si>
  <si>
    <t xml:space="preserve">Revolver drawn at default (% of commitment)</t>
  </si>
  <si>
    <t xml:space="preserve">Trade payables &amp; other unsecured claims</t>
  </si>
  <si>
    <t xml:space="preserve">ENTERPRISE VALUE IN DEFAULT</t>
  </si>
  <si>
    <t xml:space="preserve">Distressed EBITDA</t>
  </si>
  <si>
    <t xml:space="preserve">Distressed enterprise value</t>
  </si>
  <si>
    <t xml:space="preserve">– Administrative &amp; professional fees</t>
  </si>
  <si>
    <t xml:space="preserve">– Priority claims</t>
  </si>
  <si>
    <t xml:space="preserve">Value available to secured creditors</t>
  </si>
  <si>
    <t xml:space="preserve">Waterfall</t>
  </si>
  <si>
    <t xml:space="preserve">Claim</t>
  </si>
  <si>
    <t xml:space="preserve">Recovered</t>
  </si>
  <si>
    <t xml:space="preserve">Recovery %</t>
  </si>
  <si>
    <t xml:space="preserve">Remaining value</t>
  </si>
  <si>
    <t xml:space="preserve">First lien: revolver (drawn)</t>
  </si>
  <si>
    <t xml:space="preserve">First lien: term loan B</t>
  </si>
  <si>
    <t xml:space="preserve">Total first-lien claims</t>
  </si>
  <si>
    <t xml:space="preserve">Unsecured pool:</t>
  </si>
  <si>
    <t xml:space="preserve">  Senior unsecured notes</t>
  </si>
  <si>
    <t xml:space="preserve">  Trade payables &amp; other unsecured</t>
  </si>
  <si>
    <t xml:space="preserve">  First-lien deficiency claim</t>
  </si>
  <si>
    <t xml:space="preserve">  Second-lien deficiency claim</t>
  </si>
  <si>
    <t xml:space="preserve">Total unsecured pool</t>
  </si>
  <si>
    <t xml:space="preserve">Residual to equity</t>
  </si>
  <si>
    <t xml:space="preserve">RECOVERY BY CLASS</t>
  </si>
  <si>
    <t xml:space="preserve">First-lien TLB total recovery % (secured + share of unsecured)</t>
  </si>
  <si>
    <t xml:space="preserve">First-lien LGD (1 – recovery)</t>
  </si>
  <si>
    <t xml:space="preserve">Second-lien recovery %</t>
  </si>
  <si>
    <t xml:space="preserve">Senior unsecured notes recovery %</t>
  </si>
  <si>
    <t xml:space="preserve">Implied EV / total claims</t>
  </si>
  <si>
    <t xml:space="preserve">SENSITIVITY: FIRST-LIEN SECURED RECOVERY % (EBITDA decline × exit multiple)</t>
  </si>
  <si>
    <t xml:space="preserve">Exit multiple ↓ / EBITDA decline →</t>
  </si>
  <si>
    <t xml:space="preserve">Grid excludes recovery on deficiency claims (secured value only), so it is slightly conservative vs B35.</t>
  </si>
  <si>
    <t xml:space="preserve">EXPECTED LOSS vs SPREAD (first-lien TLB)</t>
  </si>
  <si>
    <t xml:space="preserve">Cumulative PD over loan life (7 yrs)</t>
  </si>
  <si>
    <t xml:space="preserve">Loan life (years)</t>
  </si>
  <si>
    <t xml:space="preserve">Annualized PD</t>
  </si>
  <si>
    <t xml:space="preserve">LGD (from waterfall)</t>
  </si>
  <si>
    <t xml:space="preserve">EAD – first-lien TLB at close</t>
  </si>
  <si>
    <t xml:space="preserve">Annual expected loss (% of par)</t>
  </si>
  <si>
    <t xml:space="preserve">Annual expected loss ($mm)</t>
  </si>
  <si>
    <t xml:space="preserve">Credit spread offered (over SOFR)</t>
  </si>
  <si>
    <t xml:space="preserve">+ OID amortized over assumed 3-yr average life</t>
  </si>
  <si>
    <t xml:space="preserve">Total spread-equivalent compensation</t>
  </si>
  <si>
    <t xml:space="preserve">Excess spread after expected loss</t>
  </si>
  <si>
    <t xml:space="preserve">Break-even spread (covers expected loss only)</t>
  </si>
  <si>
    <t xml:space="preserve">Verdict (credit-loss lens)</t>
  </si>
  <si>
    <t xml:space="preserve">Excess spread must also pay for illiquidity, capital and model error – a ~150bps+ cushion is a reasonable minimum to target.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</si>
</sst>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#,##0.0;\(#,##0.0\);\-"/>
    <numFmt numFmtId="167" formatCode="\$#,##0.0;&quot;($&quot;#,##0.0\);\-"/>
    <numFmt numFmtId="168" formatCode="0"/>
    <numFmt numFmtId="169" formatCode="0.00%;\(0.00%\);\-"/>
    <numFmt numFmtId="170" formatCode="0.0%;\(0.0%\);\-"/>
    <numFmt numFmtId="171" formatCode="0.00\x;\(0.00&quot;x)&quot;;\-"/>
    <numFmt numFmtId="172" formatCode="0;0;\-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1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  <c r="C6" s="4" t="s">
        <v>4</v>
      </c>
    </row>
    <row r="7" customFormat="false" ht="15" hidden="false" customHeight="false" outlineLevel="0" collapsed="false">
      <c r="B7" s="3" t="s">
        <v>5</v>
      </c>
      <c r="C7" s="4" t="s">
        <v>6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1" customFormat="false" ht="15" hidden="false" customHeight="false" outlineLevel="0" collapsed="false">
      <c r="B11" s="3" t="s">
        <v>13</v>
      </c>
      <c r="C11" s="4" t="s">
        <v>14</v>
      </c>
    </row>
    <row r="12" customFormat="false" ht="15" hidden="false" customHeight="false" outlineLevel="0" collapsed="false">
      <c r="B12" s="3" t="s">
        <v>15</v>
      </c>
      <c r="C12" s="4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5" t="s">
        <v>18</v>
      </c>
      <c r="C14" s="4" t="s">
        <v>19</v>
      </c>
    </row>
    <row r="15" customFormat="false" ht="15" hidden="false" customHeight="false" outlineLevel="0" collapsed="false">
      <c r="B15" s="4" t="s">
        <v>20</v>
      </c>
      <c r="C15" s="4" t="s">
        <v>21</v>
      </c>
    </row>
    <row r="16" customFormat="false" ht="15" hidden="false" customHeight="false" outlineLevel="0" collapsed="false">
      <c r="B16" s="6" t="s">
        <v>22</v>
      </c>
      <c r="C16" s="4" t="s">
        <v>23</v>
      </c>
    </row>
    <row r="17" customFormat="false" ht="15" hidden="false" customHeight="false" outlineLevel="0" collapsed="false">
      <c r="B17" s="7" t="s">
        <v>24</v>
      </c>
      <c r="C17" s="4" t="s">
        <v>25</v>
      </c>
    </row>
    <row r="19" customFormat="false" ht="15" hidden="false" customHeight="false" outlineLevel="0" collapsed="false">
      <c r="B19" s="3" t="s">
        <v>26</v>
      </c>
    </row>
    <row r="20" customFormat="false" ht="15" hidden="false" customHeight="false" outlineLevel="0" collapsed="false">
      <c r="C20" s="4" t="s">
        <v>27</v>
      </c>
    </row>
    <row r="21" customFormat="false" ht="15" hidden="false" customHeight="false" outlineLevel="0" collapsed="false">
      <c r="C21" s="4" t="s">
        <v>28</v>
      </c>
    </row>
    <row r="22" customFormat="false" ht="15" hidden="false" customHeight="false" outlineLevel="0" collapsed="false">
      <c r="C22" s="4" t="s">
        <v>29</v>
      </c>
    </row>
    <row r="23" customFormat="false" ht="15" hidden="false" customHeight="false" outlineLevel="0" collapsed="false">
      <c r="C23" s="4" t="s">
        <v>30</v>
      </c>
    </row>
    <row r="24" customFormat="false" ht="15" hidden="false" customHeight="false" outlineLevel="0" collapsed="false">
      <c r="C24" s="4" t="s">
        <v>31</v>
      </c>
    </row>
    <row r="25" customFormat="false" ht="15" hidden="false" customHeight="false" outlineLevel="0" collapsed="false">
      <c r="C25" s="4" t="s">
        <v>32</v>
      </c>
    </row>
    <row r="26" customFormat="false" ht="15" hidden="false" customHeight="false" outlineLevel="0" collapsed="false">
      <c r="C26" s="4" t="s">
        <v>33</v>
      </c>
    </row>
    <row r="27" customFormat="false" ht="15" hidden="false" customHeight="false" outlineLevel="0" collapsed="false">
      <c r="C27" s="4" t="s">
        <v>34</v>
      </c>
    </row>
    <row r="28" customFormat="false" ht="15" hidden="false" customHeight="false" outlineLevel="0" collapsed="false">
      <c r="C28" s="4" t="s">
        <v>35</v>
      </c>
    </row>
    <row r="30" customFormat="false" ht="15" hidden="false" customHeight="false" outlineLevel="0" collapsed="false">
      <c r="B30" s="3" t="s">
        <v>36</v>
      </c>
    </row>
    <row r="31" customFormat="false" ht="15" hidden="false" customHeight="false" outlineLevel="0" collapsed="false">
      <c r="C31" s="4" t="s">
        <v>37</v>
      </c>
    </row>
    <row r="32" customFormat="false" ht="15" hidden="false" customHeight="false" outlineLevel="0" collapsed="false">
      <c r="C32" s="4" t="s">
        <v>38</v>
      </c>
    </row>
    <row r="33" customFormat="false" ht="15" hidden="false" customHeight="false" outlineLevel="0" collapsed="false">
      <c r="C33" s="4" t="s">
        <v>39</v>
      </c>
    </row>
    <row r="34" customFormat="false" ht="15" hidden="false" customHeight="false" outlineLevel="0" collapsed="false">
      <c r="C34" s="4" t="s">
        <v>40</v>
      </c>
    </row>
    <row r="35" customFormat="false" ht="15" hidden="false" customHeight="false" outlineLevel="0" collapsed="false">
      <c r="C35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9" min="6" style="0" width="13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8" t="s">
        <v>44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false" outlineLevel="0" collapsed="false">
      <c r="A5" s="4" t="s">
        <v>45</v>
      </c>
      <c r="B5" s="10" t="n">
        <v>2</v>
      </c>
      <c r="C5" s="4" t="str">
        <f aca="false">CHOOSE(B5,"Management","Lender Base","Downside")</f>
        <v>Lender Base</v>
      </c>
      <c r="J5" s="2" t="s">
        <v>46</v>
      </c>
    </row>
    <row r="6" customFormat="false" ht="15" hidden="false" customHeight="false" outlineLevel="0" collapsed="false">
      <c r="A6" s="4" t="s">
        <v>47</v>
      </c>
      <c r="B6" s="10" t="n">
        <v>2</v>
      </c>
      <c r="C6" s="4" t="str">
        <f aca="false">CHOOSE(B6,"A: All first-lien","B: 1L + unsecured notes","C: 1L + second-lien")</f>
        <v>B: 1L + unsecured notes</v>
      </c>
    </row>
    <row r="7" customFormat="false" ht="15" hidden="false" customHeight="false" outlineLevel="0" collapsed="false">
      <c r="A7" s="4" t="s">
        <v>48</v>
      </c>
      <c r="B7" s="10" t="n">
        <v>1</v>
      </c>
      <c r="C7" s="4" t="str">
        <f aca="false">CHOOSE(B7,"Base SOFR","Stress SOFR")</f>
        <v>Base SOFR</v>
      </c>
    </row>
    <row r="9" customFormat="false" ht="15" hidden="false" customHeight="false" outlineLevel="0" collapsed="false">
      <c r="A9" s="8" t="s">
        <v>49</v>
      </c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4" t="s">
        <v>50</v>
      </c>
      <c r="B10" s="11" t="n">
        <v>32.05</v>
      </c>
    </row>
    <row r="11" customFormat="false" ht="15" hidden="false" customHeight="false" outlineLevel="0" collapsed="false">
      <c r="A11" s="4" t="s">
        <v>51</v>
      </c>
      <c r="B11" s="12" t="n">
        <v>150.4</v>
      </c>
      <c r="C11" s="2" t="s">
        <v>52</v>
      </c>
    </row>
    <row r="12" customFormat="false" ht="15" hidden="false" customHeight="false" outlineLevel="0" collapsed="false">
      <c r="A12" s="4" t="s">
        <v>53</v>
      </c>
      <c r="B12" s="13" t="n">
        <v>2873.3</v>
      </c>
    </row>
    <row r="13" customFormat="false" ht="15" hidden="false" customHeight="false" outlineLevel="0" collapsed="false">
      <c r="A13" s="4" t="s">
        <v>54</v>
      </c>
      <c r="B13" s="14" t="n">
        <v>3150</v>
      </c>
    </row>
    <row r="14" customFormat="false" ht="15" hidden="false" customHeight="false" outlineLevel="0" collapsed="false">
      <c r="A14" s="4" t="s">
        <v>55</v>
      </c>
      <c r="B14" s="13" t="n">
        <v>500</v>
      </c>
      <c r="C14" s="15" t="s">
        <v>56</v>
      </c>
      <c r="D14" s="16" t="n">
        <v>5</v>
      </c>
    </row>
    <row r="15" customFormat="false" ht="15" hidden="false" customHeight="false" outlineLevel="0" collapsed="false">
      <c r="A15" s="4" t="s">
        <v>57</v>
      </c>
      <c r="B15" s="13" t="n">
        <v>1172.9</v>
      </c>
    </row>
    <row r="16" customFormat="false" ht="15" hidden="false" customHeight="false" outlineLevel="0" collapsed="false">
      <c r="A16" s="4" t="s">
        <v>58</v>
      </c>
      <c r="B16" s="13" t="n">
        <v>193.8</v>
      </c>
    </row>
    <row r="17" customFormat="false" ht="15" hidden="false" customHeight="false" outlineLevel="0" collapsed="false">
      <c r="A17" s="4" t="s">
        <v>59</v>
      </c>
      <c r="B17" s="13" t="n">
        <v>50</v>
      </c>
    </row>
    <row r="18" customFormat="false" ht="15" hidden="false" customHeight="false" outlineLevel="0" collapsed="false">
      <c r="A18" s="4" t="s">
        <v>60</v>
      </c>
      <c r="B18" s="17" t="n">
        <v>0.0225</v>
      </c>
    </row>
    <row r="19" customFormat="false" ht="15" hidden="false" customHeight="false" outlineLevel="0" collapsed="false">
      <c r="A19" s="4" t="s">
        <v>61</v>
      </c>
      <c r="B19" s="17" t="n">
        <v>0.01</v>
      </c>
    </row>
    <row r="20" customFormat="false" ht="15" hidden="false" customHeight="false" outlineLevel="0" collapsed="false">
      <c r="A20" s="4" t="s">
        <v>62</v>
      </c>
      <c r="B20" s="13" t="n">
        <v>75</v>
      </c>
    </row>
    <row r="22" customFormat="false" ht="15" hidden="false" customHeight="false" outlineLevel="0" collapsed="false">
      <c r="A22" s="8" t="s">
        <v>63</v>
      </c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4" t="s">
        <v>64</v>
      </c>
      <c r="B23" s="18" t="n">
        <v>0</v>
      </c>
      <c r="J23" s="2" t="s">
        <v>65</v>
      </c>
    </row>
    <row r="24" customFormat="false" ht="15" hidden="false" customHeight="false" outlineLevel="0" collapsed="false">
      <c r="A24" s="4" t="s">
        <v>66</v>
      </c>
      <c r="B24" s="18" t="n">
        <v>0</v>
      </c>
    </row>
    <row r="25" customFormat="false" ht="15" hidden="false" customHeight="false" outlineLevel="0" collapsed="false">
      <c r="A25" s="4" t="s">
        <v>67</v>
      </c>
      <c r="B25" s="18" t="n">
        <v>0</v>
      </c>
    </row>
    <row r="26" customFormat="false" ht="15" hidden="false" customHeight="false" outlineLevel="0" collapsed="false">
      <c r="A26" s="4" t="s">
        <v>68</v>
      </c>
      <c r="B26" s="18" t="n">
        <v>0.1</v>
      </c>
      <c r="C26" s="15" t="s">
        <v>69</v>
      </c>
      <c r="D26" s="19" t="n">
        <v>0.35</v>
      </c>
      <c r="J26" s="2" t="s">
        <v>70</v>
      </c>
    </row>
    <row r="27" customFormat="false" ht="15" hidden="false" customHeight="false" outlineLevel="0" collapsed="false">
      <c r="A27" s="8" t="s">
        <v>71</v>
      </c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A28" s="20" t="s">
        <v>72</v>
      </c>
      <c r="B28" s="21" t="s">
        <v>73</v>
      </c>
      <c r="C28" s="21" t="s">
        <v>74</v>
      </c>
      <c r="D28" s="21" t="s">
        <v>75</v>
      </c>
      <c r="E28" s="21"/>
      <c r="F28" s="21" t="s">
        <v>76</v>
      </c>
    </row>
    <row r="29" customFormat="false" ht="15" hidden="false" customHeight="false" outlineLevel="0" collapsed="false">
      <c r="A29" s="4" t="s">
        <v>77</v>
      </c>
      <c r="B29" s="13" t="n">
        <v>3150</v>
      </c>
      <c r="C29" s="13" t="n">
        <v>2400</v>
      </c>
      <c r="D29" s="13" t="n">
        <v>2400</v>
      </c>
      <c r="F29" s="22" t="n">
        <f aca="false">CHOOSE($B$6,B29,C29,D29)</f>
        <v>2400</v>
      </c>
    </row>
    <row r="30" customFormat="false" ht="15" hidden="false" customHeight="false" outlineLevel="0" collapsed="false">
      <c r="A30" s="4" t="s">
        <v>78</v>
      </c>
      <c r="B30" s="13" t="n">
        <v>0</v>
      </c>
      <c r="C30" s="13" t="n">
        <v>0</v>
      </c>
      <c r="D30" s="13" t="n">
        <v>750</v>
      </c>
      <c r="F30" s="22" t="n">
        <f aca="false">CHOOSE($B$6,B30,C30,D30)</f>
        <v>0</v>
      </c>
    </row>
    <row r="31" customFormat="false" ht="15" hidden="false" customHeight="false" outlineLevel="0" collapsed="false">
      <c r="A31" s="4" t="s">
        <v>79</v>
      </c>
      <c r="B31" s="13" t="n">
        <v>0</v>
      </c>
      <c r="C31" s="13" t="n">
        <v>750</v>
      </c>
      <c r="D31" s="13" t="n">
        <v>0</v>
      </c>
      <c r="F31" s="22" t="n">
        <f aca="false">CHOOSE($B$6,B31,C31,D31)</f>
        <v>750</v>
      </c>
    </row>
    <row r="32" customFormat="false" ht="15" hidden="false" customHeight="false" outlineLevel="0" collapsed="false">
      <c r="A32" s="23" t="s">
        <v>80</v>
      </c>
      <c r="B32" s="24" t="n">
        <f aca="false">SUM(B29:B31)</f>
        <v>3150</v>
      </c>
      <c r="C32" s="24" t="n">
        <f aca="false">SUM(C29:C31)</f>
        <v>3150</v>
      </c>
      <c r="D32" s="24" t="n">
        <f aca="false">SUM(D29:D31)</f>
        <v>3150</v>
      </c>
      <c r="F32" s="24" t="n">
        <f aca="false">SUM(F29:F31)</f>
        <v>3150</v>
      </c>
      <c r="G32" s="2" t="str">
        <f aca="false">IF(ABS(F32-B13)&lt;0.01,"OK – ties to commitment","CHECK")</f>
        <v>OK – ties to commitment</v>
      </c>
    </row>
    <row r="34" customFormat="false" ht="15" hidden="false" customHeight="false" outlineLevel="0" collapsed="false">
      <c r="A34" s="8" t="s">
        <v>81</v>
      </c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5" hidden="false" customHeight="false" outlineLevel="0" collapsed="false">
      <c r="A35" s="4" t="s">
        <v>82</v>
      </c>
      <c r="B35" s="25" t="n">
        <v>0.0325</v>
      </c>
    </row>
    <row r="36" customFormat="false" ht="15" hidden="false" customHeight="false" outlineLevel="0" collapsed="false">
      <c r="A36" s="4" t="s">
        <v>83</v>
      </c>
      <c r="B36" s="17" t="n">
        <v>0.06</v>
      </c>
    </row>
    <row r="37" customFormat="false" ht="15" hidden="false" customHeight="false" outlineLevel="0" collapsed="false">
      <c r="A37" s="4" t="s">
        <v>84</v>
      </c>
      <c r="B37" s="17" t="n">
        <v>0.075</v>
      </c>
    </row>
    <row r="38" customFormat="false" ht="15" hidden="false" customHeight="false" outlineLevel="0" collapsed="false">
      <c r="A38" s="4" t="s">
        <v>85</v>
      </c>
      <c r="B38" s="17" t="n">
        <v>0.03</v>
      </c>
    </row>
    <row r="39" customFormat="false" ht="15" hidden="false" customHeight="false" outlineLevel="0" collapsed="false">
      <c r="A39" s="4" t="s">
        <v>86</v>
      </c>
      <c r="B39" s="17" t="n">
        <v>0.00375</v>
      </c>
    </row>
    <row r="40" customFormat="false" ht="15" hidden="false" customHeight="false" outlineLevel="0" collapsed="false">
      <c r="A40" s="4" t="s">
        <v>87</v>
      </c>
      <c r="B40" s="17" t="n">
        <v>0.005</v>
      </c>
    </row>
    <row r="41" customFormat="false" ht="15" hidden="false" customHeight="false" outlineLevel="0" collapsed="false">
      <c r="A41" s="4" t="s">
        <v>88</v>
      </c>
      <c r="B41" s="17" t="n">
        <v>0.01</v>
      </c>
    </row>
    <row r="42" customFormat="false" ht="15" hidden="false" customHeight="false" outlineLevel="0" collapsed="false">
      <c r="A42" s="4" t="s">
        <v>89</v>
      </c>
      <c r="B42" s="17" t="n">
        <v>0.5</v>
      </c>
    </row>
    <row r="44" customFormat="false" ht="15" hidden="false" customHeight="false" outlineLevel="0" collapsed="false">
      <c r="A44" s="8" t="s">
        <v>90</v>
      </c>
      <c r="B44" s="9"/>
      <c r="C44" s="9"/>
      <c r="D44" s="9"/>
      <c r="E44" s="9"/>
      <c r="F44" s="9"/>
      <c r="G44" s="9"/>
      <c r="H44" s="9"/>
      <c r="I44" s="9"/>
      <c r="J44" s="9"/>
    </row>
    <row r="45" customFormat="false" ht="15" hidden="false" customHeight="false" outlineLevel="0" collapsed="false">
      <c r="A45" s="20" t="s">
        <v>91</v>
      </c>
      <c r="B45" s="21"/>
      <c r="C45" s="21" t="s">
        <v>92</v>
      </c>
      <c r="D45" s="21" t="s">
        <v>93</v>
      </c>
      <c r="E45" s="21" t="s">
        <v>94</v>
      </c>
      <c r="F45" s="21" t="s">
        <v>95</v>
      </c>
      <c r="G45" s="21" t="s">
        <v>96</v>
      </c>
      <c r="H45" s="21" t="s">
        <v>97</v>
      </c>
      <c r="I45" s="21" t="s">
        <v>98</v>
      </c>
    </row>
    <row r="46" customFormat="false" ht="15" hidden="false" customHeight="false" outlineLevel="0" collapsed="false">
      <c r="A46" s="4" t="s">
        <v>99</v>
      </c>
      <c r="C46" s="17" t="n">
        <v>0.035</v>
      </c>
      <c r="D46" s="17" t="n">
        <v>0.0325</v>
      </c>
      <c r="E46" s="17" t="n">
        <v>0.0325</v>
      </c>
      <c r="F46" s="17" t="n">
        <v>0.0325</v>
      </c>
      <c r="G46" s="17" t="n">
        <v>0.0325</v>
      </c>
      <c r="H46" s="17" t="n">
        <v>0.0325</v>
      </c>
      <c r="I46" s="17" t="n">
        <v>0.0325</v>
      </c>
    </row>
    <row r="47" customFormat="false" ht="15" hidden="false" customHeight="false" outlineLevel="0" collapsed="false">
      <c r="A47" s="4" t="s">
        <v>100</v>
      </c>
      <c r="C47" s="17" t="n">
        <v>0.055</v>
      </c>
      <c r="D47" s="17" t="n">
        <v>0.06</v>
      </c>
      <c r="E47" s="17" t="n">
        <v>0.06</v>
      </c>
      <c r="F47" s="17" t="n">
        <v>0.0575</v>
      </c>
      <c r="G47" s="17" t="n">
        <v>0.055</v>
      </c>
      <c r="H47" s="17" t="n">
        <v>0.0525</v>
      </c>
      <c r="I47" s="17" t="n">
        <v>0.05</v>
      </c>
    </row>
    <row r="48" customFormat="false" ht="15" hidden="false" customHeight="false" outlineLevel="0" collapsed="false">
      <c r="A48" s="23" t="s">
        <v>101</v>
      </c>
      <c r="C48" s="26" t="n">
        <f aca="false">CHOOSE($B$7,C46,C47)</f>
        <v>0.035</v>
      </c>
      <c r="D48" s="26" t="n">
        <f aca="false">CHOOSE($B$7,D46,D47)</f>
        <v>0.0325</v>
      </c>
      <c r="E48" s="26" t="n">
        <f aca="false">CHOOSE($B$7,E46,E47)</f>
        <v>0.0325</v>
      </c>
      <c r="F48" s="26" t="n">
        <f aca="false">CHOOSE($B$7,F46,F47)</f>
        <v>0.0325</v>
      </c>
      <c r="G48" s="26" t="n">
        <f aca="false">CHOOSE($B$7,G46,G47)</f>
        <v>0.0325</v>
      </c>
      <c r="H48" s="26" t="n">
        <f aca="false">CHOOSE($B$7,H46,H47)</f>
        <v>0.0325</v>
      </c>
      <c r="I48" s="26" t="n">
        <f aca="false">CHOOSE($B$7,I46,I47)</f>
        <v>0.0325</v>
      </c>
    </row>
    <row r="50" customFormat="false" ht="15" hidden="false" customHeight="false" outlineLevel="0" collapsed="false">
      <c r="A50" s="8" t="s">
        <v>102</v>
      </c>
      <c r="B50" s="9"/>
      <c r="C50" s="9"/>
      <c r="D50" s="9"/>
      <c r="E50" s="9"/>
      <c r="F50" s="9"/>
      <c r="G50" s="9"/>
      <c r="H50" s="9"/>
      <c r="I50" s="9"/>
      <c r="J50" s="9"/>
    </row>
    <row r="51" customFormat="false" ht="15" hidden="false" customHeight="false" outlineLevel="0" collapsed="false">
      <c r="A51" s="20" t="s">
        <v>103</v>
      </c>
      <c r="B51" s="21"/>
      <c r="C51" s="21" t="s">
        <v>92</v>
      </c>
      <c r="D51" s="21" t="s">
        <v>93</v>
      </c>
      <c r="E51" s="21" t="s">
        <v>94</v>
      </c>
      <c r="F51" s="21" t="s">
        <v>95</v>
      </c>
      <c r="G51" s="21" t="s">
        <v>96</v>
      </c>
      <c r="H51" s="21" t="s">
        <v>97</v>
      </c>
      <c r="I51" s="21" t="s">
        <v>98</v>
      </c>
    </row>
    <row r="52" customFormat="false" ht="15" hidden="false" customHeight="false" outlineLevel="0" collapsed="false">
      <c r="A52" s="4" t="s">
        <v>104</v>
      </c>
      <c r="C52" s="19" t="n">
        <v>0.07</v>
      </c>
      <c r="D52" s="19" t="n">
        <v>0.07</v>
      </c>
      <c r="E52" s="19" t="n">
        <v>0.07</v>
      </c>
      <c r="F52" s="19" t="n">
        <v>0.07</v>
      </c>
      <c r="G52" s="19" t="n">
        <v>0.07</v>
      </c>
      <c r="H52" s="19" t="n">
        <v>0.07</v>
      </c>
      <c r="I52" s="19" t="n">
        <v>0.07</v>
      </c>
    </row>
    <row r="53" customFormat="false" ht="15" hidden="false" customHeight="false" outlineLevel="0" collapsed="false">
      <c r="A53" s="4" t="s">
        <v>105</v>
      </c>
      <c r="C53" s="19" t="n">
        <v>0.05</v>
      </c>
      <c r="D53" s="19" t="n">
        <v>0.05</v>
      </c>
      <c r="E53" s="19" t="n">
        <v>0.045</v>
      </c>
      <c r="F53" s="19" t="n">
        <v>0.045</v>
      </c>
      <c r="G53" s="19" t="n">
        <v>0.04</v>
      </c>
      <c r="H53" s="19" t="n">
        <v>0.04</v>
      </c>
      <c r="I53" s="19" t="n">
        <v>0.04</v>
      </c>
    </row>
    <row r="54" customFormat="false" ht="15" hidden="false" customHeight="false" outlineLevel="0" collapsed="false">
      <c r="A54" s="4" t="s">
        <v>106</v>
      </c>
      <c r="C54" s="19" t="n">
        <v>0.01</v>
      </c>
      <c r="D54" s="19" t="n">
        <v>-0.03</v>
      </c>
      <c r="E54" s="19" t="n">
        <v>0</v>
      </c>
      <c r="F54" s="19" t="n">
        <v>0.02</v>
      </c>
      <c r="G54" s="19" t="n">
        <v>0.03</v>
      </c>
      <c r="H54" s="19" t="n">
        <v>0.03</v>
      </c>
      <c r="I54" s="19" t="n">
        <v>0.03</v>
      </c>
    </row>
    <row r="55" customFormat="false" ht="15" hidden="false" customHeight="false" outlineLevel="0" collapsed="false">
      <c r="A55" s="23" t="s">
        <v>107</v>
      </c>
      <c r="C55" s="27" t="n">
        <f aca="false">CHOOSE($B$5,C52,C53,C54)</f>
        <v>0.05</v>
      </c>
      <c r="D55" s="27" t="n">
        <f aca="false">CHOOSE($B$5,D52,D53,D54)</f>
        <v>0.05</v>
      </c>
      <c r="E55" s="27" t="n">
        <f aca="false">CHOOSE($B$5,E52,E53,E54)</f>
        <v>0.045</v>
      </c>
      <c r="F55" s="27" t="n">
        <f aca="false">CHOOSE($B$5,F52,F53,F54)</f>
        <v>0.045</v>
      </c>
      <c r="G55" s="27" t="n">
        <f aca="false">CHOOSE($B$5,G52,G53,G54)</f>
        <v>0.04</v>
      </c>
      <c r="H55" s="27" t="n">
        <f aca="false">CHOOSE($B$5,H52,H53,H54)</f>
        <v>0.04</v>
      </c>
      <c r="I55" s="27" t="n">
        <f aca="false">CHOOSE($B$5,I52,I53,I54)</f>
        <v>0.04</v>
      </c>
    </row>
    <row r="57" customFormat="false" ht="15" hidden="false" customHeight="false" outlineLevel="0" collapsed="false">
      <c r="A57" s="4" t="s">
        <v>108</v>
      </c>
      <c r="C57" s="17" t="n">
        <v>0.001</v>
      </c>
      <c r="D57" s="17" t="n">
        <v>0.002</v>
      </c>
      <c r="E57" s="17" t="n">
        <v>0.003</v>
      </c>
      <c r="F57" s="17" t="n">
        <v>0.004</v>
      </c>
      <c r="G57" s="17" t="n">
        <v>0.005</v>
      </c>
      <c r="H57" s="17" t="n">
        <v>0.006</v>
      </c>
      <c r="I57" s="17" t="n">
        <v>0.007</v>
      </c>
    </row>
    <row r="58" customFormat="false" ht="15" hidden="false" customHeight="false" outlineLevel="0" collapsed="false">
      <c r="A58" s="4" t="s">
        <v>109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</row>
    <row r="59" customFormat="false" ht="15" hidden="false" customHeight="false" outlineLevel="0" collapsed="false">
      <c r="A59" s="4" t="s">
        <v>110</v>
      </c>
      <c r="C59" s="17" t="n">
        <v>-0.01</v>
      </c>
      <c r="D59" s="17" t="n">
        <v>-0.02</v>
      </c>
      <c r="E59" s="17" t="n">
        <v>-0.025</v>
      </c>
      <c r="F59" s="17" t="n">
        <v>-0.025</v>
      </c>
      <c r="G59" s="17" t="n">
        <v>-0.02</v>
      </c>
      <c r="H59" s="17" t="n">
        <v>-0.02</v>
      </c>
      <c r="I59" s="17" t="n">
        <v>-0.02</v>
      </c>
    </row>
    <row r="60" customFormat="false" ht="15" hidden="false" customHeight="false" outlineLevel="0" collapsed="false">
      <c r="A60" s="23" t="s">
        <v>111</v>
      </c>
      <c r="C60" s="26" t="n">
        <f aca="false">CHOOSE($B$5,C57,C58,C59)</f>
        <v>0</v>
      </c>
      <c r="D60" s="26" t="n">
        <f aca="false">CHOOSE($B$5,D57,D58,D59)</f>
        <v>0</v>
      </c>
      <c r="E60" s="26" t="n">
        <f aca="false">CHOOSE($B$5,E57,E58,E59)</f>
        <v>0</v>
      </c>
      <c r="F60" s="26" t="n">
        <f aca="false">CHOOSE($B$5,F57,F58,F59)</f>
        <v>0</v>
      </c>
      <c r="G60" s="26" t="n">
        <f aca="false">CHOOSE($B$5,G57,G58,G59)</f>
        <v>0</v>
      </c>
      <c r="H60" s="26" t="n">
        <f aca="false">CHOOSE($B$5,H57,H58,H59)</f>
        <v>0</v>
      </c>
      <c r="I60" s="26" t="n">
        <f aca="false">CHOOSE($B$5,I57,I58,I59)</f>
        <v>0</v>
      </c>
    </row>
    <row r="62" customFormat="false" ht="15" hidden="false" customHeight="false" outlineLevel="0" collapsed="false">
      <c r="A62" s="8" t="s">
        <v>112</v>
      </c>
      <c r="B62" s="9"/>
      <c r="C62" s="9"/>
      <c r="D62" s="9"/>
      <c r="E62" s="9"/>
      <c r="F62" s="9"/>
      <c r="G62" s="9"/>
      <c r="H62" s="9"/>
      <c r="I62" s="9"/>
      <c r="J62" s="9"/>
    </row>
    <row r="63" customFormat="false" ht="15" hidden="false" customHeight="false" outlineLevel="0" collapsed="false">
      <c r="A63" s="4" t="s">
        <v>113</v>
      </c>
      <c r="B63" s="17" t="n">
        <v>0.0075</v>
      </c>
    </row>
    <row r="64" customFormat="false" ht="15" hidden="false" customHeight="false" outlineLevel="0" collapsed="false">
      <c r="A64" s="4" t="s">
        <v>114</v>
      </c>
      <c r="B64" s="17" t="n">
        <v>0.0125</v>
      </c>
    </row>
    <row r="65" customFormat="false" ht="15" hidden="false" customHeight="false" outlineLevel="0" collapsed="false">
      <c r="A65" s="4" t="s">
        <v>115</v>
      </c>
      <c r="B65" s="17" t="n">
        <v>0.054</v>
      </c>
    </row>
    <row r="66" customFormat="false" ht="15" hidden="false" customHeight="false" outlineLevel="0" collapsed="false">
      <c r="A66" s="4" t="s">
        <v>116</v>
      </c>
      <c r="B66" s="17" t="n">
        <v>0.25</v>
      </c>
      <c r="C66" s="15" t="s">
        <v>117</v>
      </c>
      <c r="D66" s="18" t="n">
        <v>0.3</v>
      </c>
      <c r="E66" s="2" t="s">
        <v>118</v>
      </c>
    </row>
    <row r="67" customFormat="false" ht="15" hidden="false" customHeight="false" outlineLevel="0" collapsed="false">
      <c r="A67" s="4" t="s">
        <v>119</v>
      </c>
      <c r="B67" s="17" t="n">
        <v>0.0054</v>
      </c>
    </row>
    <row r="68" customFormat="false" ht="15" hidden="false" customHeight="false" outlineLevel="0" collapsed="false">
      <c r="A68" s="8" t="s">
        <v>120</v>
      </c>
      <c r="B68" s="9"/>
      <c r="C68" s="9"/>
      <c r="D68" s="9"/>
      <c r="E68" s="9"/>
      <c r="F68" s="9"/>
      <c r="G68" s="9"/>
      <c r="H68" s="9"/>
      <c r="I68" s="9"/>
      <c r="J68" s="9"/>
    </row>
    <row r="69" customFormat="false" ht="15" hidden="false" customHeight="false" outlineLevel="0" collapsed="false">
      <c r="A69" s="4" t="s">
        <v>121</v>
      </c>
      <c r="B69" s="28" t="n">
        <v>7</v>
      </c>
    </row>
    <row r="70" customFormat="false" ht="15" hidden="false" customHeight="false" outlineLevel="0" collapsed="false">
      <c r="A70" s="4" t="s">
        <v>122</v>
      </c>
      <c r="B70" s="28" t="n">
        <v>1</v>
      </c>
    </row>
    <row r="71" customFormat="false" ht="15" hidden="false" customHeight="false" outlineLevel="0" collapsed="false">
      <c r="A71" s="4" t="s">
        <v>123</v>
      </c>
      <c r="B71" s="28" t="n">
        <v>7.5</v>
      </c>
    </row>
    <row r="72" customFormat="false" ht="15" hidden="false" customHeight="false" outlineLevel="0" collapsed="false">
      <c r="A72" s="4" t="s">
        <v>124</v>
      </c>
      <c r="B72" s="13" t="n">
        <v>100</v>
      </c>
    </row>
    <row r="74" customFormat="false" ht="15" hidden="false" customHeight="false" outlineLevel="0" collapsed="false">
      <c r="A74" s="8" t="s">
        <v>125</v>
      </c>
      <c r="B74" s="9"/>
      <c r="C74" s="9"/>
      <c r="D74" s="9"/>
      <c r="E74" s="9"/>
      <c r="F74" s="9"/>
      <c r="G74" s="9"/>
      <c r="H74" s="9"/>
      <c r="I74" s="9"/>
      <c r="J74" s="9"/>
    </row>
    <row r="75" customFormat="false" ht="15" hidden="false" customHeight="false" outlineLevel="0" collapsed="false">
      <c r="A75" s="20" t="s">
        <v>26</v>
      </c>
      <c r="B75" s="21" t="s">
        <v>126</v>
      </c>
      <c r="C75" s="21" t="s">
        <v>127</v>
      </c>
      <c r="D75" s="21"/>
      <c r="E75" s="21" t="s">
        <v>128</v>
      </c>
      <c r="F75" s="21" t="s">
        <v>126</v>
      </c>
      <c r="G75" s="21" t="s">
        <v>127</v>
      </c>
    </row>
    <row r="76" customFormat="false" ht="15" hidden="false" customHeight="false" outlineLevel="0" collapsed="false">
      <c r="A76" s="4" t="s">
        <v>77</v>
      </c>
      <c r="B76" s="22" t="n">
        <f aca="false">F29</f>
        <v>2400</v>
      </c>
      <c r="C76" s="29" t="n">
        <f aca="false">IF($B$83=0,0,B76/$B$83)</f>
        <v>0.386032072831384</v>
      </c>
      <c r="E76" s="4" t="s">
        <v>129</v>
      </c>
      <c r="F76" s="22" t="n">
        <f aca="false">B10*B11</f>
        <v>4820.32</v>
      </c>
      <c r="G76" s="29" t="n">
        <f aca="false">IF($F$83=0,0,F76/$F$83)</f>
        <v>0.775332550546074</v>
      </c>
    </row>
    <row r="77" customFormat="false" ht="15" hidden="false" customHeight="false" outlineLevel="0" collapsed="false">
      <c r="A77" s="4" t="s">
        <v>78</v>
      </c>
      <c r="B77" s="22" t="n">
        <f aca="false">F30</f>
        <v>0</v>
      </c>
      <c r="C77" s="29" t="n">
        <f aca="false">IF($B$83=0,0,B77/$B$83)</f>
        <v>0</v>
      </c>
      <c r="E77" s="4" t="s">
        <v>130</v>
      </c>
      <c r="F77" s="22" t="n">
        <f aca="false">B15</f>
        <v>1172.9</v>
      </c>
      <c r="G77" s="29" t="n">
        <f aca="false">IF($F$83=0,0,F77/$F$83)</f>
        <v>0.188657090926638</v>
      </c>
    </row>
    <row r="78" customFormat="false" ht="15" hidden="false" customHeight="false" outlineLevel="0" collapsed="false">
      <c r="A78" s="4" t="s">
        <v>79</v>
      </c>
      <c r="B78" s="22" t="n">
        <f aca="false">F31</f>
        <v>750</v>
      </c>
      <c r="C78" s="29" t="n">
        <f aca="false">IF($B$83=0,0,B78/$B$83)</f>
        <v>0.120635022759808</v>
      </c>
      <c r="E78" s="4" t="s">
        <v>131</v>
      </c>
      <c r="F78" s="22" t="n">
        <f aca="false">B18*B13</f>
        <v>70.875</v>
      </c>
      <c r="G78" s="29" t="n">
        <f aca="false">IF($F$83=0,0,F78/$F$83)</f>
        <v>0.0114000096508018</v>
      </c>
    </row>
    <row r="79" customFormat="false" ht="15" hidden="false" customHeight="false" outlineLevel="0" collapsed="false">
      <c r="A79" s="4" t="s">
        <v>132</v>
      </c>
      <c r="B79" s="22" t="n">
        <f aca="false">MAX(0,G87-(SUM(B76:B78)+B80+B81)+B17)</f>
        <v>0</v>
      </c>
      <c r="C79" s="29" t="n">
        <f aca="false">IF($B$83=0,0,B79/$B$83)</f>
        <v>0</v>
      </c>
      <c r="E79" s="4" t="s">
        <v>133</v>
      </c>
      <c r="F79" s="22" t="n">
        <f aca="false">B19*F29</f>
        <v>24</v>
      </c>
      <c r="G79" s="29" t="n">
        <f aca="false">IF($F$83=0,0,F79/$F$83)</f>
        <v>0.00386032072831384</v>
      </c>
    </row>
    <row r="80" customFormat="false" ht="15" hidden="false" customHeight="false" outlineLevel="0" collapsed="false">
      <c r="A80" s="4" t="s">
        <v>134</v>
      </c>
      <c r="B80" s="22" t="n">
        <f aca="false">B12</f>
        <v>2873.3</v>
      </c>
      <c r="C80" s="29" t="n">
        <f aca="false">IF($B$83=0,0,B80/$B$83)</f>
        <v>0.462160814527674</v>
      </c>
      <c r="E80" s="4" t="s">
        <v>135</v>
      </c>
      <c r="F80" s="22" t="n">
        <f aca="false">B20</f>
        <v>75</v>
      </c>
      <c r="G80" s="29" t="n">
        <f aca="false">IF($F$83=0,0,F80/$F$83)</f>
        <v>0.0120635022759808</v>
      </c>
    </row>
    <row r="81" customFormat="false" ht="15" hidden="false" customHeight="false" outlineLevel="0" collapsed="false">
      <c r="A81" s="4" t="s">
        <v>136</v>
      </c>
      <c r="B81" s="22" t="n">
        <f aca="false">B16</f>
        <v>193.8</v>
      </c>
      <c r="C81" s="29" t="n">
        <f aca="false">IF($B$83=0,0,B81/$B$83)</f>
        <v>0.0311720898811343</v>
      </c>
      <c r="E81" s="4" t="s">
        <v>137</v>
      </c>
      <c r="F81" s="22" t="n">
        <f aca="false">SUM(B76:B81)-G87</f>
        <v>54.005000000001</v>
      </c>
      <c r="G81" s="29" t="n">
        <f aca="false">IF($F$83=0,0,F81/$F$83)</f>
        <v>0.00868652587219138</v>
      </c>
    </row>
    <row r="83" customFormat="false" ht="15" hidden="false" customHeight="false" outlineLevel="0" collapsed="false">
      <c r="A83" s="23" t="s">
        <v>138</v>
      </c>
      <c r="B83" s="24" t="n">
        <f aca="false">SUM(B76:B81)</f>
        <v>6217.1</v>
      </c>
      <c r="C83" s="29" t="n">
        <f aca="false">SUM(C76:C81)</f>
        <v>1</v>
      </c>
      <c r="E83" s="23" t="s">
        <v>139</v>
      </c>
      <c r="F83" s="24" t="n">
        <f aca="false">SUM(F76:F81)</f>
        <v>6217.1</v>
      </c>
      <c r="G83" s="29" t="n">
        <f aca="false">SUM(G76:G81)</f>
        <v>1</v>
      </c>
    </row>
    <row r="84" customFormat="false" ht="15" hidden="false" customHeight="false" outlineLevel="0" collapsed="false">
      <c r="A84" s="2" t="str">
        <f aca="false">IF(ABS(B83-F83)&lt;0.01,"Check: sources = uses ✓","Check: SOURCES ≠ USES")</f>
        <v>Check: sources = uses ✓</v>
      </c>
    </row>
    <row r="87" customFormat="false" ht="15" hidden="false" customHeight="false" outlineLevel="0" collapsed="false">
      <c r="E87" s="4" t="s">
        <v>140</v>
      </c>
      <c r="G87" s="22" t="n">
        <f aca="false">SUM(F76:F80)</f>
        <v>6163.095</v>
      </c>
    </row>
    <row r="89" customFormat="false" ht="15" hidden="false" customHeight="false" outlineLevel="0" collapsed="false">
      <c r="A89" s="8" t="s">
        <v>141</v>
      </c>
      <c r="B89" s="9"/>
      <c r="C89" s="9"/>
      <c r="D89" s="9"/>
      <c r="E89" s="9"/>
      <c r="F89" s="9"/>
      <c r="G89" s="9"/>
      <c r="H89" s="9"/>
      <c r="I89" s="9"/>
      <c r="J89" s="9"/>
    </row>
    <row r="90" customFormat="false" ht="15" hidden="false" customHeight="false" outlineLevel="0" collapsed="false">
      <c r="A90" s="4" t="s">
        <v>142</v>
      </c>
      <c r="B90" s="22" t="n">
        <f aca="false">F76+B15-B16</f>
        <v>5799.42</v>
      </c>
      <c r="C90" s="2" t="s">
        <v>143</v>
      </c>
    </row>
    <row r="91" customFormat="false" ht="15" hidden="false" customHeight="false" outlineLevel="0" collapsed="false">
      <c r="A91" s="4" t="s">
        <v>144</v>
      </c>
      <c r="B91" s="30" t="n">
        <f aca="false">Historicals!G33</f>
        <v>467.752</v>
      </c>
    </row>
    <row r="92" customFormat="false" ht="15" hidden="false" customHeight="false" outlineLevel="0" collapsed="false">
      <c r="A92" s="4" t="s">
        <v>145</v>
      </c>
      <c r="B92" s="30" t="n">
        <f aca="false">Historicals!G43</f>
        <v>403.85</v>
      </c>
    </row>
    <row r="93" customFormat="false" ht="15" hidden="false" customHeight="false" outlineLevel="0" collapsed="false">
      <c r="A93" s="4" t="s">
        <v>146</v>
      </c>
      <c r="B93" s="31" t="n">
        <f aca="false">IF(B91=0,0,B90/B91)</f>
        <v>12.3984932186287</v>
      </c>
    </row>
    <row r="94" customFormat="false" ht="15" hidden="false" customHeight="false" outlineLevel="0" collapsed="false">
      <c r="A94" s="4" t="s">
        <v>147</v>
      </c>
      <c r="B94" s="31" t="n">
        <f aca="false">IF(B92=0,0,B90/B92)</f>
        <v>14.3603318063638</v>
      </c>
    </row>
    <row r="95" customFormat="false" ht="15" hidden="false" customHeight="false" outlineLevel="0" collapsed="false">
      <c r="A95" s="4" t="s">
        <v>148</v>
      </c>
      <c r="B95" s="22" t="n">
        <f aca="false">SUM(B76:B79)</f>
        <v>3150</v>
      </c>
    </row>
    <row r="96" customFormat="false" ht="15" hidden="false" customHeight="false" outlineLevel="0" collapsed="false">
      <c r="A96" s="4" t="s">
        <v>149</v>
      </c>
      <c r="B96" s="31" t="n">
        <f aca="false">IF(B91=0,0,B95/B91)</f>
        <v>6.73433785424756</v>
      </c>
    </row>
    <row r="97" customFormat="false" ht="15" hidden="false" customHeight="false" outlineLevel="0" collapsed="false">
      <c r="A97" s="4" t="s">
        <v>150</v>
      </c>
      <c r="B97" s="31" t="n">
        <f aca="false">IF(B92=0,0,B95/B92)</f>
        <v>7.7999257149932</v>
      </c>
    </row>
    <row r="98" customFormat="false" ht="15" hidden="false" customHeight="false" outlineLevel="0" collapsed="false">
      <c r="A98" s="4" t="s">
        <v>151</v>
      </c>
      <c r="B98" s="29" t="n">
        <f aca="false">IF((B80+B95)=0,0,B80/(B80+B95))</f>
        <v>0.477030863480152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3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15" hidden="false" customHeight="false" outlineLevel="0" collapsed="false">
      <c r="A4" s="20" t="s">
        <v>154</v>
      </c>
      <c r="B4" s="21" t="s">
        <v>155</v>
      </c>
      <c r="C4" s="21" t="s">
        <v>156</v>
      </c>
      <c r="D4" s="21" t="s">
        <v>157</v>
      </c>
      <c r="E4" s="21" t="s">
        <v>158</v>
      </c>
      <c r="F4" s="21" t="s">
        <v>159</v>
      </c>
      <c r="G4" s="21" t="s">
        <v>160</v>
      </c>
      <c r="H4" s="21" t="s">
        <v>161</v>
      </c>
    </row>
    <row r="5" customFormat="false" ht="15" hidden="false" customHeight="false" outlineLevel="0" collapsed="false">
      <c r="A5" s="4" t="s">
        <v>162</v>
      </c>
      <c r="B5" s="13" t="n">
        <v>4302.324</v>
      </c>
      <c r="C5" s="13" t="n">
        <v>4998.202</v>
      </c>
      <c r="D5" s="13" t="n">
        <v>5649.519</v>
      </c>
      <c r="E5" s="13" t="n">
        <v>2749.057</v>
      </c>
      <c r="F5" s="13" t="n">
        <v>2793.054</v>
      </c>
      <c r="G5" s="22" t="n">
        <f aca="false">D5+F5-E5</f>
        <v>5693.516</v>
      </c>
      <c r="H5" s="2" t="s">
        <v>163</v>
      </c>
    </row>
    <row r="6" customFormat="false" ht="15" hidden="false" customHeight="false" outlineLevel="0" collapsed="false">
      <c r="A6" s="4" t="s">
        <v>164</v>
      </c>
      <c r="B6" s="13" t="n">
        <v>3321.101</v>
      </c>
      <c r="C6" s="13" t="n">
        <v>3985.209</v>
      </c>
      <c r="D6" s="13" t="n">
        <v>4561.624</v>
      </c>
      <c r="E6" s="13" t="n">
        <v>2216.962</v>
      </c>
      <c r="F6" s="13" t="n">
        <v>2263.789</v>
      </c>
      <c r="G6" s="22" t="n">
        <f aca="false">D6+F6-E6</f>
        <v>4608.451</v>
      </c>
      <c r="H6" s="2" t="s">
        <v>163</v>
      </c>
    </row>
    <row r="7" customFormat="false" ht="15" hidden="false" customHeight="false" outlineLevel="0" collapsed="false">
      <c r="A7" s="23" t="s">
        <v>165</v>
      </c>
      <c r="B7" s="32" t="n">
        <f aca="false">B5-B6</f>
        <v>981.223</v>
      </c>
      <c r="C7" s="32" t="n">
        <f aca="false">C5-C6</f>
        <v>1012.993</v>
      </c>
      <c r="D7" s="32" t="n">
        <f aca="false">D5-D6</f>
        <v>1087.895</v>
      </c>
      <c r="E7" s="32" t="n">
        <f aca="false">E5-E6</f>
        <v>532.095</v>
      </c>
      <c r="F7" s="32" t="n">
        <f aca="false">F5-F6</f>
        <v>529.265</v>
      </c>
      <c r="G7" s="32" t="n">
        <f aca="false">G5-G6</f>
        <v>1085.065</v>
      </c>
    </row>
    <row r="8" customFormat="false" ht="15" hidden="false" customHeight="false" outlineLevel="0" collapsed="false">
      <c r="A8" s="4" t="s">
        <v>166</v>
      </c>
      <c r="B8" s="29" t="n">
        <f aca="false">IF(B5=0,0,B7/B5)</f>
        <v>0.228068132479097</v>
      </c>
      <c r="C8" s="29" t="n">
        <f aca="false">IF(C5=0,0,C7/C5)</f>
        <v>0.202671480664447</v>
      </c>
      <c r="D8" s="29" t="n">
        <f aca="false">IF(D5=0,0,D7/D5)</f>
        <v>0.192564181127632</v>
      </c>
      <c r="E8" s="29" t="n">
        <f aca="false">IF(E5=0,0,E7/E5)</f>
        <v>0.193555462836893</v>
      </c>
      <c r="F8" s="29" t="n">
        <f aca="false">IF(F5=0,0,F7/F5)</f>
        <v>0.189493293004718</v>
      </c>
      <c r="G8" s="29" t="n">
        <f aca="false">IF(G5=0,0,G7/G5)</f>
        <v>0.190579072755745</v>
      </c>
    </row>
    <row r="9" customFormat="false" ht="15" hidden="false" customHeight="false" outlineLevel="0" collapsed="false">
      <c r="A9" s="4" t="s">
        <v>167</v>
      </c>
      <c r="B9" s="13" t="n">
        <v>607.427</v>
      </c>
      <c r="C9" s="13" t="n">
        <v>630.251</v>
      </c>
      <c r="D9" s="13" t="n">
        <v>682.451</v>
      </c>
      <c r="E9" s="13" t="n">
        <v>338.21</v>
      </c>
      <c r="F9" s="13" t="n">
        <v>339.221</v>
      </c>
      <c r="G9" s="22" t="n">
        <f aca="false">D9+F9-E9</f>
        <v>683.462</v>
      </c>
      <c r="H9" s="2" t="s">
        <v>163</v>
      </c>
    </row>
    <row r="10" customFormat="false" ht="15" hidden="false" customHeight="false" outlineLevel="0" collapsed="false">
      <c r="A10" s="4" t="s">
        <v>168</v>
      </c>
      <c r="B10" s="13" t="n">
        <v>59.201</v>
      </c>
      <c r="C10" s="13" t="n">
        <v>60.909</v>
      </c>
      <c r="D10" s="13" t="n">
        <v>67.538</v>
      </c>
      <c r="E10" s="13" t="n">
        <v>31.987</v>
      </c>
      <c r="F10" s="13" t="n">
        <v>32.359</v>
      </c>
      <c r="G10" s="22" t="n">
        <f aca="false">D10+F10-E10</f>
        <v>67.91</v>
      </c>
      <c r="H10" s="2" t="s">
        <v>163</v>
      </c>
    </row>
    <row r="11" customFormat="false" ht="15" hidden="false" customHeight="false" outlineLevel="0" collapsed="false">
      <c r="A11" s="23" t="s">
        <v>169</v>
      </c>
      <c r="B11" s="32" t="n">
        <f aca="false">B7-B9-B10</f>
        <v>314.594999999999</v>
      </c>
      <c r="C11" s="32" t="n">
        <f aca="false">C7-C9-C10</f>
        <v>321.833</v>
      </c>
      <c r="D11" s="32" t="n">
        <f aca="false">D7-D9-D10</f>
        <v>337.906</v>
      </c>
      <c r="E11" s="32" t="n">
        <f aca="false">E7-E9-E10</f>
        <v>161.898</v>
      </c>
      <c r="F11" s="32" t="n">
        <f aca="false">F7-F9-F10</f>
        <v>157.685</v>
      </c>
      <c r="G11" s="32" t="n">
        <f aca="false">G7-G9-G10</f>
        <v>333.693</v>
      </c>
    </row>
    <row r="12" customFormat="false" ht="15" hidden="false" customHeight="false" outlineLevel="0" collapsed="false">
      <c r="A12" s="4" t="s">
        <v>170</v>
      </c>
      <c r="B12" s="13" t="n">
        <v>51.248</v>
      </c>
      <c r="C12" s="13" t="n">
        <v>49.029</v>
      </c>
      <c r="D12" s="13" t="n">
        <v>54.558</v>
      </c>
      <c r="E12" s="13" t="n">
        <v>27.678</v>
      </c>
      <c r="F12" s="13" t="n">
        <v>27.324</v>
      </c>
      <c r="G12" s="22" t="n">
        <f aca="false">D12+F12-E12</f>
        <v>54.204</v>
      </c>
      <c r="H12" s="2" t="s">
        <v>163</v>
      </c>
    </row>
    <row r="13" customFormat="false" ht="15" hidden="false" customHeight="false" outlineLevel="0" collapsed="false">
      <c r="A13" s="4" t="s">
        <v>171</v>
      </c>
      <c r="B13" s="13" t="n">
        <v>5.53</v>
      </c>
      <c r="C13" s="13" t="n">
        <v>5.964</v>
      </c>
      <c r="D13" s="13" t="n">
        <v>7.409</v>
      </c>
      <c r="E13" s="13" t="n">
        <v>3.124</v>
      </c>
      <c r="F13" s="13" t="n">
        <v>3.393</v>
      </c>
      <c r="G13" s="22" t="n">
        <f aca="false">D13+F13-E13</f>
        <v>7.678</v>
      </c>
      <c r="H13" s="2" t="s">
        <v>163</v>
      </c>
    </row>
    <row r="14" customFormat="false" ht="15" hidden="false" customHeight="false" outlineLevel="0" collapsed="false">
      <c r="A14" s="4" t="s">
        <v>172</v>
      </c>
      <c r="B14" s="13" t="n">
        <v>89.865</v>
      </c>
      <c r="C14" s="13" t="n">
        <v>4.831</v>
      </c>
      <c r="D14" s="13" t="n">
        <v>-7.857</v>
      </c>
      <c r="E14" s="13" t="n">
        <v>-4.927</v>
      </c>
      <c r="F14" s="13" t="n">
        <v>1.236</v>
      </c>
      <c r="G14" s="22" t="n">
        <f aca="false">D14+F14-E14</f>
        <v>-1.694</v>
      </c>
      <c r="H14" s="2" t="s">
        <v>173</v>
      </c>
    </row>
    <row r="15" customFormat="false" ht="15" hidden="false" customHeight="false" outlineLevel="0" collapsed="false">
      <c r="A15" s="4" t="s">
        <v>174</v>
      </c>
      <c r="B15" s="22" t="n">
        <f aca="false">B11-B12+B13+B14</f>
        <v>358.741999999999</v>
      </c>
      <c r="C15" s="22" t="n">
        <f aca="false">C11-C12+C13+C14</f>
        <v>283.599</v>
      </c>
      <c r="D15" s="22" t="n">
        <f aca="false">D11-D12+D13+D14</f>
        <v>282.9</v>
      </c>
      <c r="E15" s="22" t="n">
        <f aca="false">E11-E12+E13+E14</f>
        <v>132.417</v>
      </c>
      <c r="F15" s="22" t="n">
        <f aca="false">F11-F12+F13+F14</f>
        <v>134.99</v>
      </c>
      <c r="G15" s="22" t="n">
        <f aca="false">G11-G12+G13+G14</f>
        <v>285.473</v>
      </c>
    </row>
    <row r="16" customFormat="false" ht="15" hidden="false" customHeight="false" outlineLevel="0" collapsed="false">
      <c r="A16" s="4" t="s">
        <v>175</v>
      </c>
      <c r="B16" s="13" t="n">
        <v>91.652</v>
      </c>
      <c r="C16" s="13" t="n">
        <v>71.776</v>
      </c>
      <c r="D16" s="13" t="n">
        <v>75.315</v>
      </c>
      <c r="E16" s="13" t="n">
        <v>35.152</v>
      </c>
      <c r="F16" s="13" t="n">
        <v>35.734</v>
      </c>
      <c r="G16" s="22" t="n">
        <f aca="false">D16+F16-E16</f>
        <v>75.897</v>
      </c>
      <c r="H16" s="2" t="s">
        <v>163</v>
      </c>
    </row>
    <row r="17" customFormat="false" ht="15" hidden="false" customHeight="false" outlineLevel="0" collapsed="false">
      <c r="A17" s="23" t="s">
        <v>176</v>
      </c>
      <c r="B17" s="32" t="n">
        <f aca="false">B15-B16</f>
        <v>267.089999999999</v>
      </c>
      <c r="C17" s="32" t="n">
        <f aca="false">C15-C16</f>
        <v>211.823</v>
      </c>
      <c r="D17" s="32" t="n">
        <f aca="false">D15-D16</f>
        <v>207.585</v>
      </c>
      <c r="E17" s="32" t="n">
        <f aca="false">E15-E16</f>
        <v>97.2649999999998</v>
      </c>
      <c r="F17" s="32" t="n">
        <f aca="false">F15-F16</f>
        <v>99.2559999999998</v>
      </c>
      <c r="G17" s="32" t="n">
        <f aca="false">G15-G16</f>
        <v>209.576</v>
      </c>
    </row>
    <row r="18" customFormat="false" ht="15" hidden="false" customHeight="false" outlineLevel="0" collapsed="false">
      <c r="A18" s="4" t="s">
        <v>177</v>
      </c>
      <c r="B18" s="13" t="n">
        <v>267.09</v>
      </c>
      <c r="C18" s="13" t="n">
        <v>211.823</v>
      </c>
      <c r="D18" s="13" t="n">
        <v>207.585</v>
      </c>
      <c r="E18" s="13" t="n">
        <v>97.265</v>
      </c>
      <c r="F18" s="13" t="n">
        <v>99.256</v>
      </c>
      <c r="G18" s="22" t="n">
        <f aca="false">D18+F18-E18</f>
        <v>209.576</v>
      </c>
      <c r="H18" s="2" t="s">
        <v>163</v>
      </c>
    </row>
    <row r="19" customFormat="false" ht="15" hidden="false" customHeight="false" outlineLevel="0" collapsed="false">
      <c r="A19" s="4" t="s">
        <v>178</v>
      </c>
      <c r="B19" s="33" t="n">
        <f aca="false">ROUND(B17-B18,3)</f>
        <v>0</v>
      </c>
      <c r="C19" s="33" t="n">
        <f aca="false">ROUND(C17-C18,3)</f>
        <v>0</v>
      </c>
      <c r="D19" s="33" t="n">
        <f aca="false">ROUND(D17-D18,3)</f>
        <v>0</v>
      </c>
      <c r="E19" s="33" t="n">
        <f aca="false">ROUND(E17-E18,3)</f>
        <v>0</v>
      </c>
      <c r="F19" s="33" t="n">
        <f aca="false">ROUND(F17-F18,3)</f>
        <v>0</v>
      </c>
      <c r="G19" s="33" t="n">
        <f aca="false">ROUND(G17-G18,3)</f>
        <v>0</v>
      </c>
    </row>
    <row r="20" customFormat="false" ht="15" hidden="false" customHeight="false" outlineLevel="0" collapsed="false">
      <c r="A20" s="20" t="s">
        <v>179</v>
      </c>
      <c r="B20" s="21" t="s">
        <v>155</v>
      </c>
      <c r="C20" s="21" t="s">
        <v>156</v>
      </c>
      <c r="D20" s="21" t="s">
        <v>157</v>
      </c>
      <c r="E20" s="21" t="s">
        <v>158</v>
      </c>
      <c r="F20" s="21" t="s">
        <v>159</v>
      </c>
      <c r="G20" s="21" t="s">
        <v>160</v>
      </c>
      <c r="H20" s="21" t="s">
        <v>161</v>
      </c>
    </row>
    <row r="21" customFormat="false" ht="15" hidden="false" customHeight="false" outlineLevel="0" collapsed="false">
      <c r="A21" s="4" t="s">
        <v>176</v>
      </c>
      <c r="B21" s="22" t="n">
        <f aca="false">B17</f>
        <v>267.089999999999</v>
      </c>
      <c r="C21" s="22" t="n">
        <f aca="false">C17</f>
        <v>211.823</v>
      </c>
      <c r="D21" s="22" t="n">
        <f aca="false">D17</f>
        <v>207.585</v>
      </c>
      <c r="E21" s="22" t="n">
        <f aca="false">E17</f>
        <v>97.2649999999998</v>
      </c>
      <c r="F21" s="22" t="n">
        <f aca="false">F17</f>
        <v>99.2559999999998</v>
      </c>
      <c r="G21" s="22" t="n">
        <f aca="false">G17</f>
        <v>209.576</v>
      </c>
    </row>
    <row r="22" customFormat="false" ht="15" hidden="false" customHeight="false" outlineLevel="0" collapsed="false">
      <c r="A22" s="4" t="s">
        <v>180</v>
      </c>
      <c r="B22" s="22" t="n">
        <f aca="false">B12</f>
        <v>51.248</v>
      </c>
      <c r="C22" s="22" t="n">
        <f aca="false">C12</f>
        <v>49.029</v>
      </c>
      <c r="D22" s="22" t="n">
        <f aca="false">D12</f>
        <v>54.558</v>
      </c>
      <c r="E22" s="22" t="n">
        <f aca="false">E12</f>
        <v>27.678</v>
      </c>
      <c r="F22" s="22" t="n">
        <f aca="false">F12</f>
        <v>27.324</v>
      </c>
      <c r="G22" s="22" t="n">
        <f aca="false">G12</f>
        <v>54.204</v>
      </c>
    </row>
    <row r="23" customFormat="false" ht="15" hidden="false" customHeight="false" outlineLevel="0" collapsed="false">
      <c r="A23" s="4" t="s">
        <v>181</v>
      </c>
      <c r="B23" s="22" t="n">
        <f aca="false">B16</f>
        <v>91.652</v>
      </c>
      <c r="C23" s="22" t="n">
        <f aca="false">C16</f>
        <v>71.776</v>
      </c>
      <c r="D23" s="22" t="n">
        <f aca="false">D16</f>
        <v>75.315</v>
      </c>
      <c r="E23" s="22" t="n">
        <f aca="false">E16</f>
        <v>35.152</v>
      </c>
      <c r="F23" s="22" t="n">
        <f aca="false">F16</f>
        <v>35.734</v>
      </c>
      <c r="G23" s="22" t="n">
        <f aca="false">G16</f>
        <v>75.897</v>
      </c>
    </row>
    <row r="24" customFormat="false" ht="15" hidden="false" customHeight="false" outlineLevel="0" collapsed="false">
      <c r="A24" s="4" t="s">
        <v>182</v>
      </c>
      <c r="B24" s="13" t="n">
        <v>62.2</v>
      </c>
      <c r="C24" s="13" t="n">
        <v>63.498</v>
      </c>
      <c r="D24" s="13" t="n">
        <v>70.69</v>
      </c>
      <c r="E24" s="13" t="n">
        <v>33.326</v>
      </c>
      <c r="F24" s="13" t="n">
        <v>34.037</v>
      </c>
      <c r="G24" s="22" t="n">
        <f aca="false">D24+F24-E24</f>
        <v>71.401</v>
      </c>
      <c r="H24" s="2" t="s">
        <v>183</v>
      </c>
    </row>
    <row r="25" customFormat="false" ht="15" hidden="false" customHeight="false" outlineLevel="0" collapsed="false">
      <c r="A25" s="23" t="s">
        <v>184</v>
      </c>
      <c r="B25" s="24" t="n">
        <f aca="false">SUM(B21:B24)</f>
        <v>472.189999999999</v>
      </c>
      <c r="C25" s="24" t="n">
        <f aca="false">SUM(C21:C24)</f>
        <v>396.126</v>
      </c>
      <c r="D25" s="24" t="n">
        <f aca="false">SUM(D21:D24)</f>
        <v>408.148</v>
      </c>
      <c r="E25" s="24" t="n">
        <f aca="false">SUM(E21:E24)</f>
        <v>193.421</v>
      </c>
      <c r="F25" s="24" t="n">
        <f aca="false">SUM(F21:F24)</f>
        <v>196.351</v>
      </c>
      <c r="G25" s="24" t="n">
        <f aca="false">SUM(G21:G24)</f>
        <v>411.078</v>
      </c>
    </row>
    <row r="26" customFormat="false" ht="15" hidden="false" customHeight="false" outlineLevel="0" collapsed="false">
      <c r="A26" s="4" t="s">
        <v>185</v>
      </c>
      <c r="B26" s="13" t="n">
        <v>472.19</v>
      </c>
      <c r="C26" s="13" t="n">
        <v>396.126</v>
      </c>
      <c r="D26" s="13" t="n">
        <v>408.148</v>
      </c>
      <c r="E26" s="13" t="n">
        <v>193.421</v>
      </c>
      <c r="F26" s="13" t="n">
        <v>196.351</v>
      </c>
      <c r="G26" s="22" t="n">
        <f aca="false">D26+F26-E26</f>
        <v>411.078</v>
      </c>
      <c r="H26" s="2" t="s">
        <v>186</v>
      </c>
    </row>
    <row r="27" customFormat="false" ht="15" hidden="false" customHeight="false" outlineLevel="0" collapsed="false">
      <c r="A27" s="4" t="s">
        <v>187</v>
      </c>
      <c r="B27" s="33" t="n">
        <f aca="false">ROUND(B25-B26,3)</f>
        <v>0</v>
      </c>
      <c r="C27" s="33" t="n">
        <f aca="false">ROUND(C25-C26,3)</f>
        <v>0</v>
      </c>
      <c r="D27" s="33" t="n">
        <f aca="false">ROUND(D25-D26,3)</f>
        <v>0</v>
      </c>
      <c r="E27" s="33" t="n">
        <f aca="false">ROUND(E25-E26,3)</f>
        <v>0</v>
      </c>
      <c r="F27" s="33" t="n">
        <f aca="false">ROUND(F25-F26,3)</f>
        <v>0</v>
      </c>
      <c r="G27" s="33" t="n">
        <f aca="false">ROUND(G25-G26,3)</f>
        <v>0</v>
      </c>
    </row>
    <row r="29" customFormat="false" ht="15" hidden="false" customHeight="false" outlineLevel="0" collapsed="false">
      <c r="A29" s="23" t="s">
        <v>188</v>
      </c>
    </row>
    <row r="30" customFormat="false" ht="15" hidden="false" customHeight="false" outlineLevel="0" collapsed="false">
      <c r="A30" s="4" t="s">
        <v>189</v>
      </c>
      <c r="B30" s="13" t="n">
        <v>30.479</v>
      </c>
      <c r="C30" s="13" t="n">
        <v>36.143</v>
      </c>
      <c r="D30" s="13" t="n">
        <v>39.956</v>
      </c>
      <c r="E30" s="13" t="n">
        <v>19.513</v>
      </c>
      <c r="F30" s="13" t="n">
        <v>18.581</v>
      </c>
      <c r="G30" s="22" t="n">
        <f aca="false">D30+F30-E30</f>
        <v>39.024</v>
      </c>
      <c r="H30" s="2" t="s">
        <v>186</v>
      </c>
    </row>
    <row r="31" customFormat="false" ht="15" hidden="false" customHeight="false" outlineLevel="0" collapsed="false">
      <c r="A31" s="4" t="s">
        <v>190</v>
      </c>
      <c r="B31" s="13" t="n">
        <v>0</v>
      </c>
      <c r="C31" s="13" t="n">
        <v>0.377</v>
      </c>
      <c r="D31" s="13" t="n">
        <v>4.744</v>
      </c>
      <c r="E31" s="13" t="n">
        <v>0</v>
      </c>
      <c r="F31" s="13" t="n">
        <v>0</v>
      </c>
      <c r="G31" s="22" t="n">
        <f aca="false">D31+F31-E31</f>
        <v>4.744</v>
      </c>
      <c r="H31" s="2" t="s">
        <v>31</v>
      </c>
    </row>
    <row r="32" customFormat="false" ht="15" hidden="false" customHeight="false" outlineLevel="0" collapsed="false">
      <c r="A32" s="4" t="s">
        <v>191</v>
      </c>
      <c r="B32" s="13" t="n">
        <v>-77.486</v>
      </c>
      <c r="C32" s="13" t="n">
        <v>11.143</v>
      </c>
      <c r="D32" s="13" t="n">
        <v>18.436</v>
      </c>
      <c r="E32" s="13" t="n">
        <v>12.85</v>
      </c>
      <c r="F32" s="13" t="n">
        <v>7.32</v>
      </c>
      <c r="G32" s="22" t="n">
        <f aca="false">D32+F32-E32</f>
        <v>12.906</v>
      </c>
      <c r="H32" s="2" t="s">
        <v>192</v>
      </c>
    </row>
    <row r="33" customFormat="false" ht="15" hidden="false" customHeight="false" outlineLevel="0" collapsed="false">
      <c r="A33" s="23" t="s">
        <v>193</v>
      </c>
      <c r="B33" s="24" t="n">
        <f aca="false">B25+SUM(B30:B32)</f>
        <v>425.182999999999</v>
      </c>
      <c r="C33" s="24" t="n">
        <f aca="false">C25+SUM(C30:C32)</f>
        <v>443.789</v>
      </c>
      <c r="D33" s="24" t="n">
        <f aca="false">D25+SUM(D30:D32)</f>
        <v>471.284</v>
      </c>
      <c r="E33" s="24" t="n">
        <f aca="false">E25+SUM(E30:E32)</f>
        <v>225.784</v>
      </c>
      <c r="F33" s="24" t="n">
        <f aca="false">F25+SUM(F30:F32)</f>
        <v>222.252</v>
      </c>
      <c r="G33" s="24" t="n">
        <f aca="false">G25+SUM(G30:G32)</f>
        <v>467.752</v>
      </c>
    </row>
    <row r="34" customFormat="false" ht="15" hidden="false" customHeight="false" outlineLevel="0" collapsed="false">
      <c r="A34" s="4" t="s">
        <v>194</v>
      </c>
      <c r="B34" s="13" t="n">
        <v>425.183</v>
      </c>
      <c r="C34" s="13" t="n">
        <v>443.789</v>
      </c>
      <c r="D34" s="13" t="n">
        <v>471.284</v>
      </c>
      <c r="E34" s="13" t="n">
        <v>225.784</v>
      </c>
      <c r="F34" s="13" t="n">
        <v>222.252</v>
      </c>
      <c r="G34" s="22" t="n">
        <f aca="false">D34+F34-E34</f>
        <v>467.752</v>
      </c>
      <c r="H34" s="2" t="s">
        <v>186</v>
      </c>
    </row>
    <row r="35" customFormat="false" ht="15" hidden="false" customHeight="false" outlineLevel="0" collapsed="false">
      <c r="A35" s="4" t="s">
        <v>187</v>
      </c>
      <c r="B35" s="33" t="n">
        <f aca="false">ROUND(B33-B34,3)</f>
        <v>0</v>
      </c>
      <c r="C35" s="33" t="n">
        <f aca="false">ROUND(C33-C34,3)</f>
        <v>0</v>
      </c>
      <c r="D35" s="33" t="n">
        <f aca="false">ROUND(D33-D34,3)</f>
        <v>0</v>
      </c>
      <c r="E35" s="33" t="n">
        <f aca="false">ROUND(E33-E34,3)</f>
        <v>0</v>
      </c>
      <c r="F35" s="33" t="n">
        <f aca="false">ROUND(F33-F34,3)</f>
        <v>0</v>
      </c>
      <c r="G35" s="33" t="n">
        <f aca="false">ROUND(G33-G34,3)</f>
        <v>0</v>
      </c>
    </row>
    <row r="36" customFormat="false" ht="15" hidden="false" customHeight="false" outlineLevel="0" collapsed="false">
      <c r="A36" s="4" t="s">
        <v>195</v>
      </c>
      <c r="B36" s="29" t="n">
        <f aca="false">IF(B5=0,0,B33/B5)</f>
        <v>0.0988263552442818</v>
      </c>
      <c r="C36" s="29" t="n">
        <f aca="false">IF(C5=0,0,C33/C5)</f>
        <v>0.0887897287864717</v>
      </c>
      <c r="D36" s="29" t="n">
        <f aca="false">IF(D5=0,0,D33/D5)</f>
        <v>0.0834201991355371</v>
      </c>
      <c r="E36" s="29" t="n">
        <f aca="false">IF(E5=0,0,E33/E5)</f>
        <v>0.0821314363434443</v>
      </c>
      <c r="F36" s="29" t="n">
        <f aca="false">IF(F5=0,0,F33/F5)</f>
        <v>0.0795731124425091</v>
      </c>
      <c r="G36" s="29" t="n">
        <f aca="false">IF(G5=0,0,G33/G5)</f>
        <v>0.0821552095401154</v>
      </c>
    </row>
    <row r="37" customFormat="false" ht="15" hidden="false" customHeight="false" outlineLevel="0" collapsed="false">
      <c r="A37" s="20" t="s">
        <v>196</v>
      </c>
      <c r="B37" s="21" t="s">
        <v>155</v>
      </c>
      <c r="C37" s="21" t="s">
        <v>156</v>
      </c>
      <c r="D37" s="21" t="s">
        <v>157</v>
      </c>
      <c r="E37" s="21" t="s">
        <v>158</v>
      </c>
      <c r="F37" s="21" t="s">
        <v>159</v>
      </c>
      <c r="G37" s="21" t="s">
        <v>160</v>
      </c>
      <c r="H37" s="21" t="s">
        <v>197</v>
      </c>
    </row>
    <row r="38" customFormat="false" ht="15" hidden="false" customHeight="false" outlineLevel="0" collapsed="false">
      <c r="A38" s="4" t="s">
        <v>198</v>
      </c>
      <c r="B38" s="30" t="n">
        <f aca="false">EBITDA_Addbacks!B10</f>
        <v>472.189999999999</v>
      </c>
      <c r="C38" s="30" t="n">
        <f aca="false">EBITDA_Addbacks!C10</f>
        <v>396.126</v>
      </c>
      <c r="D38" s="30" t="n">
        <f aca="false">EBITDA_Addbacks!D10</f>
        <v>408.148</v>
      </c>
      <c r="E38" s="30" t="n">
        <f aca="false">EBITDA_Addbacks!E10</f>
        <v>193.421</v>
      </c>
      <c r="F38" s="30" t="n">
        <f aca="false">EBITDA_Addbacks!F10</f>
        <v>196.351</v>
      </c>
      <c r="G38" s="30" t="n">
        <f aca="false">EBITDA_Addbacks!G10</f>
        <v>411.078</v>
      </c>
      <c r="H38" s="2" t="s">
        <v>199</v>
      </c>
    </row>
    <row r="39" customFormat="false" ht="15" hidden="false" customHeight="false" outlineLevel="0" collapsed="false">
      <c r="A39" s="4" t="s">
        <v>200</v>
      </c>
      <c r="B39" s="30" t="n">
        <f aca="false">EBITDA_Addbacks!B14+EBITDA_Addbacks!B15+EBITDA_Addbacks!B18</f>
        <v>-110.965</v>
      </c>
      <c r="C39" s="30" t="n">
        <f aca="false">EBITDA_Addbacks!C14+EBITDA_Addbacks!C15+EBITDA_Addbacks!C18</f>
        <v>-5.208</v>
      </c>
      <c r="D39" s="30" t="n">
        <f aca="false">EBITDA_Addbacks!D14+EBITDA_Addbacks!D15+EBITDA_Addbacks!D18</f>
        <v>0</v>
      </c>
      <c r="E39" s="30" t="n">
        <f aca="false">EBITDA_Addbacks!E14+EBITDA_Addbacks!E15+EBITDA_Addbacks!E18</f>
        <v>0</v>
      </c>
      <c r="F39" s="30" t="n">
        <f aca="false">EBITDA_Addbacks!F14+EBITDA_Addbacks!F15+EBITDA_Addbacks!F18</f>
        <v>-1.236</v>
      </c>
      <c r="G39" s="30" t="n">
        <f aca="false">EBITDA_Addbacks!G14+EBITDA_Addbacks!G15+EBITDA_Addbacks!G18</f>
        <v>-3.05</v>
      </c>
      <c r="H39" s="2" t="s">
        <v>201</v>
      </c>
    </row>
    <row r="40" customFormat="false" ht="15" hidden="false" customHeight="false" outlineLevel="0" collapsed="false">
      <c r="A40" s="4" t="s">
        <v>202</v>
      </c>
      <c r="B40" s="30" t="n">
        <f aca="false">EBITDA_Addbacks!B16+EBITDA_Addbacks!B17</f>
        <v>0</v>
      </c>
      <c r="C40" s="30" t="n">
        <f aca="false">EBITDA_Addbacks!C16+EBITDA_Addbacks!C17</f>
        <v>0</v>
      </c>
      <c r="D40" s="30" t="n">
        <f aca="false">EBITDA_Addbacks!D16+EBITDA_Addbacks!D17</f>
        <v>0</v>
      </c>
      <c r="E40" s="30" t="n">
        <f aca="false">EBITDA_Addbacks!E16+EBITDA_Addbacks!E17</f>
        <v>0</v>
      </c>
      <c r="F40" s="30" t="n">
        <f aca="false">EBITDA_Addbacks!F16+EBITDA_Addbacks!F17</f>
        <v>0</v>
      </c>
      <c r="G40" s="30" t="n">
        <f aca="false">EBITDA_Addbacks!G16+EBITDA_Addbacks!G17</f>
        <v>0</v>
      </c>
      <c r="H40" s="2" t="s">
        <v>203</v>
      </c>
    </row>
    <row r="41" customFormat="false" ht="15" hidden="false" customHeight="false" outlineLevel="0" collapsed="false">
      <c r="A41" s="4" t="s">
        <v>204</v>
      </c>
      <c r="B41" s="30" t="n">
        <f aca="false">EBITDA_Addbacks!B19</f>
        <v>-1.53</v>
      </c>
      <c r="C41" s="30" t="n">
        <f aca="false">EBITDA_Addbacks!C19</f>
        <v>-3.564</v>
      </c>
      <c r="D41" s="30" t="n">
        <f aca="false">EBITDA_Addbacks!D19</f>
        <v>-3.409</v>
      </c>
      <c r="E41" s="30" t="n">
        <f aca="false">EBITDA_Addbacks!E19</f>
        <v>-1.524</v>
      </c>
      <c r="F41" s="30" t="n">
        <f aca="false">EBITDA_Addbacks!F19</f>
        <v>-2.293</v>
      </c>
      <c r="G41" s="30" t="n">
        <f aca="false">EBITDA_Addbacks!G19</f>
        <v>-4.178</v>
      </c>
      <c r="H41" s="2" t="s">
        <v>205</v>
      </c>
    </row>
    <row r="42" customFormat="false" ht="15" hidden="false" customHeight="false" outlineLevel="0" collapsed="false">
      <c r="A42" s="4" t="s">
        <v>206</v>
      </c>
      <c r="B42" s="30" t="n">
        <f aca="false">EBITDA_Addbacks!B20+EBITDA_Addbacks!B21</f>
        <v>0</v>
      </c>
      <c r="C42" s="30" t="n">
        <f aca="false">EBITDA_Addbacks!C20+EBITDA_Addbacks!C21</f>
        <v>0</v>
      </c>
      <c r="D42" s="30" t="n">
        <f aca="false">EBITDA_Addbacks!D20+EBITDA_Addbacks!D21</f>
        <v>0</v>
      </c>
      <c r="E42" s="30" t="n">
        <f aca="false">EBITDA_Addbacks!E20+EBITDA_Addbacks!E21</f>
        <v>0</v>
      </c>
      <c r="F42" s="30" t="n">
        <f aca="false">EBITDA_Addbacks!F20+EBITDA_Addbacks!F21</f>
        <v>0</v>
      </c>
      <c r="G42" s="30" t="n">
        <f aca="false">EBITDA_Addbacks!G20+EBITDA_Addbacks!G21</f>
        <v>0</v>
      </c>
      <c r="H42" s="2" t="s">
        <v>207</v>
      </c>
    </row>
    <row r="43" customFormat="false" ht="15" hidden="false" customHeight="false" outlineLevel="0" collapsed="false">
      <c r="A43" s="23" t="s">
        <v>208</v>
      </c>
      <c r="B43" s="34" t="n">
        <f aca="false">SUM(B38:B42)</f>
        <v>359.695</v>
      </c>
      <c r="C43" s="34" t="n">
        <f aca="false">SUM(C38:C42)</f>
        <v>387.354</v>
      </c>
      <c r="D43" s="34" t="n">
        <f aca="false">SUM(D38:D42)</f>
        <v>404.739</v>
      </c>
      <c r="E43" s="34" t="n">
        <f aca="false">SUM(E38:E42)</f>
        <v>191.897</v>
      </c>
      <c r="F43" s="34" t="n">
        <f aca="false">SUM(F38:F42)</f>
        <v>192.822</v>
      </c>
      <c r="G43" s="34" t="n">
        <f aca="false">SUM(G38:G42)</f>
        <v>403.85</v>
      </c>
    </row>
    <row r="44" customFormat="false" ht="15" hidden="false" customHeight="false" outlineLevel="0" collapsed="false">
      <c r="A44" s="4" t="s">
        <v>209</v>
      </c>
      <c r="B44" s="29" t="n">
        <f aca="false">IF(B5=0,0,B43/B5)</f>
        <v>0.083604814514202</v>
      </c>
      <c r="C44" s="29" t="n">
        <f aca="false">IF(C5=0,0,C43/C5)</f>
        <v>0.0774986685212003</v>
      </c>
      <c r="D44" s="29" t="n">
        <f aca="false">IF(D5=0,0,D43/D5)</f>
        <v>0.0716413202610701</v>
      </c>
      <c r="E44" s="29" t="n">
        <f aca="false">IF(E5=0,0,E43/E5)</f>
        <v>0.0698046639265755</v>
      </c>
      <c r="F44" s="29" t="n">
        <f aca="false">IF(F5=0,0,F43/F5)</f>
        <v>0.0690362592345153</v>
      </c>
      <c r="G44" s="29" t="n">
        <f aca="false">IF(G5=0,0,G43/G5)</f>
        <v>0.070931564959157</v>
      </c>
    </row>
    <row r="45" customFormat="false" ht="15" hidden="false" customHeight="false" outlineLevel="0" collapsed="false">
      <c r="A45" s="4" t="s">
        <v>210</v>
      </c>
      <c r="B45" s="22" t="n">
        <f aca="false">B43-B33</f>
        <v>-65.4879999999999</v>
      </c>
      <c r="C45" s="22" t="n">
        <f aca="false">C43-C33</f>
        <v>-56.4350000000001</v>
      </c>
      <c r="D45" s="22" t="n">
        <f aca="false">D43-D33</f>
        <v>-66.545</v>
      </c>
      <c r="E45" s="22" t="n">
        <f aca="false">E43-E33</f>
        <v>-33.887</v>
      </c>
      <c r="F45" s="22" t="n">
        <f aca="false">F43-F33</f>
        <v>-29.43</v>
      </c>
      <c r="G45" s="22" t="n">
        <f aca="false">G43-G33</f>
        <v>-63.902</v>
      </c>
    </row>
    <row r="46" customFormat="false" ht="15" hidden="false" customHeight="false" outlineLevel="0" collapsed="false">
      <c r="A46" s="4" t="s">
        <v>211</v>
      </c>
      <c r="B46" s="29" t="n">
        <f aca="false">IF(B33=0,0,B45/B33)</f>
        <v>-0.154023091233657</v>
      </c>
      <c r="C46" s="29" t="n">
        <f aca="false">IF(C33=0,0,C45/C33)</f>
        <v>-0.127166288483942</v>
      </c>
      <c r="D46" s="29" t="n">
        <f aca="false">IF(D33=0,0,D45/D33)</f>
        <v>-0.141199361743662</v>
      </c>
      <c r="E46" s="29" t="n">
        <f aca="false">IF(E33=0,0,E45/E33)</f>
        <v>-0.150085922828899</v>
      </c>
      <c r="F46" s="29" t="n">
        <f aca="false">IF(F33=0,0,F45/F33)</f>
        <v>-0.132417256087684</v>
      </c>
      <c r="G46" s="29" t="n">
        <f aca="false">IF(G33=0,0,G45/G33)</f>
        <v>-0.136615129384802</v>
      </c>
    </row>
    <row r="48" customFormat="false" ht="15" hidden="false" customHeight="false" outlineLevel="0" collapsed="false">
      <c r="A48" s="23" t="s">
        <v>212</v>
      </c>
    </row>
    <row r="49" customFormat="false" ht="15" hidden="false" customHeight="false" outlineLevel="0" collapsed="false">
      <c r="A49" s="4" t="s">
        <v>213</v>
      </c>
      <c r="B49" s="29" t="n">
        <f aca="false">IF(B33=0,0,B30/B33)</f>
        <v>0.0716844276464488</v>
      </c>
      <c r="C49" s="29" t="n">
        <f aca="false">IF(C33=0,0,C30/C33)</f>
        <v>0.0814418563776929</v>
      </c>
      <c r="D49" s="29" t="n">
        <f aca="false">IF(D33=0,0,D30/D33)</f>
        <v>0.0847811510681457</v>
      </c>
      <c r="E49" s="29" t="n">
        <f aca="false">IF(E33=0,0,E30/E33)</f>
        <v>0.0864233072316906</v>
      </c>
      <c r="F49" s="29" t="n">
        <f aca="false">IF(F33=0,0,F30/F33)</f>
        <v>0.0836032971581809</v>
      </c>
      <c r="G49" s="29" t="n">
        <f aca="false">IF(G33=0,0,G30/G33)</f>
        <v>0.0834288255314783</v>
      </c>
    </row>
    <row r="50" customFormat="false" ht="15" hidden="false" customHeight="false" outlineLevel="0" collapsed="false">
      <c r="A50" s="4" t="s">
        <v>214</v>
      </c>
      <c r="B50" s="29" t="n">
        <f aca="false">IF(B33=0,0,B32/B33)</f>
        <v>-0.182241528941656</v>
      </c>
      <c r="C50" s="29" t="n">
        <f aca="false">IF(C33=0,0,C32/C33)</f>
        <v>0.025108779172084</v>
      </c>
      <c r="D50" s="29" t="n">
        <f aca="false">IF(D33=0,0,D32/D33)</f>
        <v>0.0391186630566707</v>
      </c>
      <c r="E50" s="29" t="n">
        <f aca="false">IF(E33=0,0,E32/E33)</f>
        <v>0.0569128016157036</v>
      </c>
      <c r="F50" s="29" t="n">
        <f aca="false">IF(F33=0,0,F32/F33)</f>
        <v>0.0329355866313914</v>
      </c>
      <c r="G50" s="29" t="n">
        <f aca="false">IF(G33=0,0,G32/G33)</f>
        <v>0.0275915442371171</v>
      </c>
    </row>
    <row r="52" customFormat="false" ht="15" hidden="false" customHeight="false" outlineLevel="0" collapsed="false">
      <c r="A52" s="20" t="s">
        <v>215</v>
      </c>
      <c r="B52" s="21" t="s">
        <v>155</v>
      </c>
      <c r="C52" s="21" t="s">
        <v>156</v>
      </c>
      <c r="D52" s="21" t="s">
        <v>157</v>
      </c>
      <c r="E52" s="21" t="s">
        <v>158</v>
      </c>
      <c r="F52" s="21" t="s">
        <v>159</v>
      </c>
      <c r="G52" s="21" t="s">
        <v>160</v>
      </c>
      <c r="H52" s="21" t="s">
        <v>161</v>
      </c>
    </row>
    <row r="53" customFormat="false" ht="15" hidden="false" customHeight="false" outlineLevel="0" collapsed="false">
      <c r="A53" s="4" t="s">
        <v>216</v>
      </c>
      <c r="B53" s="13" t="n">
        <v>371.295</v>
      </c>
      <c r="C53" s="13" t="n">
        <v>323.392</v>
      </c>
      <c r="D53" s="13" t="n">
        <v>258.447</v>
      </c>
      <c r="E53" s="13" t="n">
        <v>83.119</v>
      </c>
      <c r="F53" s="13" t="n">
        <v>171.485</v>
      </c>
      <c r="G53" s="22" t="n">
        <f aca="false">D53+F53-E53</f>
        <v>346.813</v>
      </c>
      <c r="H53" s="2" t="s">
        <v>163</v>
      </c>
    </row>
    <row r="54" customFormat="false" ht="15" hidden="false" customHeight="false" outlineLevel="0" collapsed="false">
      <c r="A54" s="4" t="s">
        <v>217</v>
      </c>
      <c r="B54" s="13" t="n">
        <v>41.866</v>
      </c>
      <c r="C54" s="13" t="n">
        <v>35.606</v>
      </c>
      <c r="D54" s="13" t="n">
        <v>41.307</v>
      </c>
      <c r="E54" s="13" t="n">
        <v>18.466</v>
      </c>
      <c r="F54" s="13" t="n">
        <v>20.123</v>
      </c>
      <c r="G54" s="22" t="n">
        <f aca="false">D54+F54-E54</f>
        <v>42.964</v>
      </c>
      <c r="H54" s="2" t="s">
        <v>163</v>
      </c>
    </row>
    <row r="55" customFormat="false" ht="15" hidden="false" customHeight="false" outlineLevel="0" collapsed="false">
      <c r="A55" s="23" t="s">
        <v>218</v>
      </c>
      <c r="B55" s="32" t="n">
        <f aca="false">B53-B54</f>
        <v>329.429</v>
      </c>
      <c r="C55" s="32" t="n">
        <f aca="false">C53-C54</f>
        <v>287.786</v>
      </c>
      <c r="D55" s="32" t="n">
        <f aca="false">D53-D54</f>
        <v>217.14</v>
      </c>
      <c r="E55" s="32" t="n">
        <f aca="false">E53-E54</f>
        <v>64.653</v>
      </c>
      <c r="F55" s="32" t="n">
        <f aca="false">F53-F54</f>
        <v>151.362</v>
      </c>
      <c r="G55" s="32" t="n">
        <f aca="false">G53-G54</f>
        <v>303.849</v>
      </c>
    </row>
    <row r="56" customFormat="false" ht="15" hidden="false" customHeight="false" outlineLevel="0" collapsed="false">
      <c r="A56" s="4" t="s">
        <v>219</v>
      </c>
      <c r="B56" s="35" t="n">
        <f aca="false">IF(B5=0,0,B54/B5)</f>
        <v>0.00973101979302349</v>
      </c>
      <c r="C56" s="35" t="n">
        <f aca="false">IF(C5=0,0,C54/C5)</f>
        <v>0.00712376170470901</v>
      </c>
      <c r="D56" s="35" t="n">
        <f aca="false">IF(D5=0,0,D54/D5)</f>
        <v>0.0073115959075454</v>
      </c>
      <c r="E56" s="35" t="n">
        <f aca="false">IF(E5=0,0,E54/E5)</f>
        <v>0.00671721248413547</v>
      </c>
      <c r="F56" s="35" t="n">
        <f aca="false">IF(F5=0,0,F54/F5)</f>
        <v>0.00720465841333537</v>
      </c>
      <c r="G56" s="35" t="n">
        <f aca="false">IF(G5=0,0,G54/G5)</f>
        <v>0.00754612791111854</v>
      </c>
    </row>
    <row r="57" customFormat="false" ht="15" hidden="false" customHeight="false" outlineLevel="0" collapsed="false">
      <c r="A57" s="4" t="s">
        <v>220</v>
      </c>
      <c r="B57" s="29" t="n">
        <f aca="false">IF(B43=0,0,B55/B43)</f>
        <v>0.91585648952585</v>
      </c>
      <c r="C57" s="29" t="n">
        <f aca="false">IF(C43=0,0,C55/C43)</f>
        <v>0.742953474083138</v>
      </c>
      <c r="D57" s="29" t="n">
        <f aca="false">IF(D43=0,0,D55/D43)</f>
        <v>0.536493888654169</v>
      </c>
      <c r="E57" s="29" t="n">
        <f aca="false">IF(E43=0,0,E55/E43)</f>
        <v>0.336915115921562</v>
      </c>
      <c r="F57" s="29" t="n">
        <f aca="false">IF(F43=0,0,F55/F43)</f>
        <v>0.784983041354203</v>
      </c>
      <c r="G57" s="29" t="n">
        <f aca="false">IF(G43=0,0,G55/G43)</f>
        <v>0.752380834468244</v>
      </c>
    </row>
    <row r="58" customFormat="false" ht="15" hidden="false" customHeight="false" outlineLevel="0" collapsed="false">
      <c r="A58" s="4" t="s">
        <v>221</v>
      </c>
      <c r="B58" s="13" t="n">
        <v>12.494</v>
      </c>
      <c r="C58" s="13" t="n">
        <v>0</v>
      </c>
      <c r="D58" s="13" t="n">
        <v>117.247</v>
      </c>
      <c r="E58" s="13" t="n">
        <v>117.247</v>
      </c>
      <c r="F58" s="13" t="n">
        <v>0</v>
      </c>
      <c r="G58" s="22" t="n">
        <f aca="false">D58+F58-E58</f>
        <v>0</v>
      </c>
      <c r="H58" s="2" t="s">
        <v>163</v>
      </c>
    </row>
    <row r="59" customFormat="false" ht="15" hidden="false" customHeight="false" outlineLevel="0" collapsed="false">
      <c r="A59" s="4" t="s">
        <v>222</v>
      </c>
      <c r="B59" s="13" t="n">
        <v>250.261</v>
      </c>
      <c r="C59" s="13" t="n">
        <v>252.726</v>
      </c>
      <c r="D59" s="13" t="n">
        <v>309.951</v>
      </c>
      <c r="E59" s="13" t="n">
        <v>152.429</v>
      </c>
      <c r="F59" s="13" t="n">
        <v>170.545</v>
      </c>
      <c r="G59" s="22" t="n">
        <f aca="false">D59+F59-E59</f>
        <v>328.067</v>
      </c>
      <c r="H59" s="2" t="s">
        <v>163</v>
      </c>
    </row>
    <row r="60" customFormat="false" ht="15" hidden="false" customHeight="false" outlineLevel="0" collapsed="false">
      <c r="A60" s="4" t="s">
        <v>223</v>
      </c>
      <c r="B60" s="13" t="n">
        <v>69.804</v>
      </c>
      <c r="C60" s="13" t="n">
        <v>71.553</v>
      </c>
      <c r="D60" s="13" t="n">
        <v>64.658</v>
      </c>
      <c r="E60" s="13" t="n">
        <v>32.526</v>
      </c>
      <c r="F60" s="13" t="n">
        <v>30.377</v>
      </c>
      <c r="G60" s="22" t="n">
        <f aca="false">D60+F60-E60</f>
        <v>62.509</v>
      </c>
      <c r="H60" s="2" t="s">
        <v>163</v>
      </c>
    </row>
    <row r="61" customFormat="false" ht="15" hidden="false" customHeight="false" outlineLevel="0" collapsed="false">
      <c r="A61" s="4" t="s">
        <v>224</v>
      </c>
      <c r="B61" s="13" t="n">
        <v>75.241</v>
      </c>
      <c r="C61" s="13" t="n">
        <v>64.522</v>
      </c>
      <c r="D61" s="13" t="n">
        <v>67.287</v>
      </c>
      <c r="E61" s="13" t="n">
        <v>39.436</v>
      </c>
      <c r="F61" s="13" t="n">
        <v>34.306</v>
      </c>
      <c r="G61" s="22" t="n">
        <f aca="false">D61+F61-E61</f>
        <v>62.157</v>
      </c>
      <c r="H61" s="2" t="s">
        <v>163</v>
      </c>
    </row>
    <row r="63" customFormat="false" ht="15" hidden="false" customHeight="false" outlineLevel="0" collapsed="false">
      <c r="A63" s="20" t="s">
        <v>225</v>
      </c>
      <c r="B63" s="21" t="s">
        <v>226</v>
      </c>
      <c r="C63" s="21" t="s">
        <v>227</v>
      </c>
      <c r="D63" s="21" t="s">
        <v>228</v>
      </c>
      <c r="E63" s="21"/>
      <c r="F63" s="21" t="s">
        <v>229</v>
      </c>
      <c r="G63" s="21" t="s">
        <v>160</v>
      </c>
      <c r="H63" s="21" t="s">
        <v>161</v>
      </c>
    </row>
    <row r="64" customFormat="false" ht="15" hidden="false" customHeight="false" outlineLevel="0" collapsed="false">
      <c r="A64" s="4" t="s">
        <v>230</v>
      </c>
      <c r="B64" s="13" t="n">
        <v>343.849</v>
      </c>
      <c r="C64" s="13" t="n">
        <v>412.565</v>
      </c>
      <c r="D64" s="13" t="n">
        <v>232.624</v>
      </c>
      <c r="F64" s="13" t="n">
        <v>193.767</v>
      </c>
      <c r="G64" s="22" t="n">
        <f aca="false">F64</f>
        <v>193.767</v>
      </c>
      <c r="H64" s="2" t="s">
        <v>231</v>
      </c>
    </row>
    <row r="65" customFormat="false" ht="15" hidden="false" customHeight="false" outlineLevel="0" collapsed="false">
      <c r="A65" s="4" t="s">
        <v>232</v>
      </c>
      <c r="B65" s="13" t="n">
        <v>377.658</v>
      </c>
      <c r="C65" s="13" t="n">
        <v>409.733</v>
      </c>
      <c r="D65" s="13" t="n">
        <v>473.566</v>
      </c>
      <c r="F65" s="13" t="n">
        <v>511.507</v>
      </c>
      <c r="G65" s="22" t="n">
        <f aca="false">F65</f>
        <v>511.507</v>
      </c>
      <c r="H65" s="2" t="s">
        <v>231</v>
      </c>
    </row>
    <row r="66" customFormat="false" ht="15" hidden="false" customHeight="false" outlineLevel="0" collapsed="false">
      <c r="A66" s="4" t="s">
        <v>233</v>
      </c>
      <c r="B66" s="13" t="n">
        <v>274.004</v>
      </c>
      <c r="C66" s="13" t="n">
        <v>388.131</v>
      </c>
      <c r="D66" s="13" t="n">
        <v>471.149</v>
      </c>
      <c r="F66" s="13" t="n">
        <v>399.605</v>
      </c>
      <c r="G66" s="22" t="n">
        <f aca="false">F66</f>
        <v>399.605</v>
      </c>
      <c r="H66" s="2" t="s">
        <v>231</v>
      </c>
    </row>
    <row r="67" customFormat="false" ht="15" hidden="false" customHeight="false" outlineLevel="0" collapsed="false">
      <c r="A67" s="4" t="s">
        <v>234</v>
      </c>
      <c r="B67" s="13" t="n">
        <v>426.513</v>
      </c>
      <c r="C67" s="13" t="n">
        <v>610.779</v>
      </c>
      <c r="D67" s="13" t="n">
        <v>639.829</v>
      </c>
      <c r="F67" s="13" t="n">
        <v>639.767</v>
      </c>
      <c r="G67" s="22" t="n">
        <f aca="false">F67</f>
        <v>639.767</v>
      </c>
      <c r="H67" s="2" t="s">
        <v>231</v>
      </c>
    </row>
    <row r="68" customFormat="false" ht="15" hidden="false" customHeight="false" outlineLevel="0" collapsed="false">
      <c r="A68" s="4" t="s">
        <v>235</v>
      </c>
      <c r="B68" s="22" t="n">
        <f aca="false">B65+B66-B67</f>
        <v>225.149</v>
      </c>
      <c r="C68" s="22" t="n">
        <f aca="false">C65+C66-C67</f>
        <v>187.085</v>
      </c>
      <c r="D68" s="22" t="n">
        <f aca="false">D65+D66-D67</f>
        <v>304.886</v>
      </c>
      <c r="F68" s="22" t="n">
        <f aca="false">F65+F66-F67</f>
        <v>271.345</v>
      </c>
      <c r="G68" s="22" t="n">
        <f aca="false">G65+G66-G67</f>
        <v>271.345</v>
      </c>
    </row>
    <row r="69" customFormat="false" ht="15" hidden="false" customHeight="false" outlineLevel="0" collapsed="false">
      <c r="A69" s="4" t="s">
        <v>236</v>
      </c>
      <c r="B69" s="13" t="n">
        <v>1088</v>
      </c>
      <c r="C69" s="13" t="n">
        <v>1131.617</v>
      </c>
      <c r="D69" s="13" t="n">
        <v>1176.305</v>
      </c>
      <c r="F69" s="13" t="n">
        <v>1172.915</v>
      </c>
      <c r="G69" s="22" t="n">
        <f aca="false">F69</f>
        <v>1172.915</v>
      </c>
      <c r="H69" s="2" t="s">
        <v>231</v>
      </c>
    </row>
    <row r="70" customFormat="false" ht="15" hidden="false" customHeight="false" outlineLevel="0" collapsed="false">
      <c r="A70" s="4" t="s">
        <v>237</v>
      </c>
      <c r="B70" s="22" t="n">
        <f aca="false">B69-B64</f>
        <v>744.151</v>
      </c>
      <c r="C70" s="22" t="n">
        <f aca="false">C69-C64</f>
        <v>719.052</v>
      </c>
      <c r="D70" s="22" t="n">
        <f aca="false">D69-D64</f>
        <v>943.681</v>
      </c>
      <c r="F70" s="22" t="n">
        <f aca="false">F69-F64</f>
        <v>979.148</v>
      </c>
      <c r="G70" s="22" t="n">
        <f aca="false">G69-G64</f>
        <v>979.148</v>
      </c>
    </row>
    <row r="71" customFormat="false" ht="15" hidden="false" customHeight="false" outlineLevel="0" collapsed="false">
      <c r="A71" s="4" t="s">
        <v>238</v>
      </c>
      <c r="B71" s="13" t="n">
        <v>1421.672</v>
      </c>
      <c r="C71" s="13" t="n">
        <v>1404.238</v>
      </c>
      <c r="D71" s="13" t="n">
        <v>1326.393</v>
      </c>
      <c r="F71" s="13" t="n">
        <v>1259.898</v>
      </c>
      <c r="G71" s="22" t="n">
        <f aca="false">F71</f>
        <v>1259.898</v>
      </c>
      <c r="H71" s="2" t="s">
        <v>231</v>
      </c>
    </row>
    <row r="73" customFormat="false" ht="15" hidden="false" customHeight="false" outlineLevel="0" collapsed="false">
      <c r="A73" s="4" t="s">
        <v>239</v>
      </c>
      <c r="B73" s="31" t="n">
        <f aca="false">IF(B33=0,0,B69/B33)</f>
        <v>2.55889816855331</v>
      </c>
      <c r="C73" s="31" t="n">
        <f aca="false">IF(C33=0,0,C69/C33)</f>
        <v>2.54989871312718</v>
      </c>
      <c r="D73" s="31" t="n">
        <f aca="false">IF(D33=0,0,D69/D33)</f>
        <v>2.49595785131683</v>
      </c>
      <c r="G73" s="31" t="n">
        <f aca="false">IF(G33=0,0,G69/G33)</f>
        <v>2.50755742359199</v>
      </c>
      <c r="H73" s="2" t="s">
        <v>240</v>
      </c>
    </row>
    <row r="74" customFormat="false" ht="15" hidden="false" customHeight="false" outlineLevel="0" collapsed="false">
      <c r="A74" s="4" t="s">
        <v>241</v>
      </c>
      <c r="B74" s="31" t="n">
        <f aca="false">IF(B43=0,0,B69/B43)</f>
        <v>3.0247848871961</v>
      </c>
      <c r="C74" s="31" t="n">
        <f aca="false">IF(C43=0,0,C69/C43)</f>
        <v>2.92140264460932</v>
      </c>
      <c r="D74" s="31" t="n">
        <f aca="false">IF(D43=0,0,D69/D43)</f>
        <v>2.90632975818984</v>
      </c>
      <c r="G74" s="31" t="n">
        <f aca="false">IF(G43=0,0,G69/G43)</f>
        <v>2.90433329206389</v>
      </c>
    </row>
    <row r="75" customFormat="false" ht="15" hidden="false" customHeight="false" outlineLevel="0" collapsed="false">
      <c r="A75" s="4" t="s">
        <v>242</v>
      </c>
      <c r="B75" s="31" t="n">
        <f aca="false">IF(B43=0,0,B70/B43)</f>
        <v>2.06883887738223</v>
      </c>
      <c r="C75" s="31" t="n">
        <f aca="false">IF(C43=0,0,C70/C43)</f>
        <v>1.85631747703651</v>
      </c>
      <c r="D75" s="31" t="n">
        <f aca="false">IF(D43=0,0,D70/D43)</f>
        <v>2.33157911641823</v>
      </c>
      <c r="G75" s="31" t="n">
        <f aca="false">IF(G43=0,0,G70/G43)</f>
        <v>2.42453386158227</v>
      </c>
    </row>
    <row r="76" customFormat="false" ht="15" hidden="false" customHeight="false" outlineLevel="0" collapsed="false">
      <c r="A76" s="4" t="s">
        <v>243</v>
      </c>
      <c r="B76" s="31" t="n">
        <f aca="false">IF(B12=0,0,B43/B12)</f>
        <v>7.01871292538244</v>
      </c>
      <c r="C76" s="31" t="n">
        <f aca="false">IF(C12=0,0,C43/C12)</f>
        <v>7.90050786269352</v>
      </c>
      <c r="D76" s="31" t="n">
        <f aca="false">IF(D12=0,0,D43/D12)</f>
        <v>7.41850874298912</v>
      </c>
      <c r="G76" s="31" t="n">
        <f aca="false">IF(G12=0,0,G43/G12)</f>
        <v>7.45055715445354</v>
      </c>
    </row>
    <row r="77" customFormat="false" ht="15" hidden="false" customHeight="false" outlineLevel="0" collapsed="false">
      <c r="A77" s="4" t="s">
        <v>244</v>
      </c>
      <c r="B77" s="29" t="n">
        <f aca="false">IF(B5=0,0,B68/B5)</f>
        <v>0.0523319489652569</v>
      </c>
      <c r="C77" s="29" t="n">
        <f aca="false">IF(C5=0,0,C68/C5)</f>
        <v>0.0374304599934136</v>
      </c>
      <c r="D77" s="29" t="n">
        <f aca="false">IF(D5=0,0,D68/D5)</f>
        <v>0.0539667182285784</v>
      </c>
      <c r="G77" s="29" t="n">
        <f aca="false">IF(G5=0,0,G68/G5)</f>
        <v>0.0476585997123746</v>
      </c>
    </row>
    <row r="79" customFormat="false" ht="15" hidden="false" customHeight="false" outlineLevel="0" collapsed="false">
      <c r="A79" s="20" t="s">
        <v>245</v>
      </c>
      <c r="B79" s="21" t="s">
        <v>155</v>
      </c>
      <c r="C79" s="21" t="s">
        <v>156</v>
      </c>
      <c r="D79" s="21" t="s">
        <v>157</v>
      </c>
      <c r="E79" s="21" t="s">
        <v>158</v>
      </c>
      <c r="F79" s="21" t="s">
        <v>159</v>
      </c>
      <c r="G79" s="21" t="s">
        <v>160</v>
      </c>
      <c r="H79" s="21" t="s">
        <v>246</v>
      </c>
    </row>
    <row r="80" customFormat="false" ht="15" hidden="false" customHeight="false" outlineLevel="0" collapsed="false">
      <c r="A80" s="4" t="s">
        <v>247</v>
      </c>
      <c r="B80" s="22" t="n">
        <f aca="false">B25</f>
        <v>472.189999999999</v>
      </c>
      <c r="C80" s="22" t="n">
        <f aca="false">C25</f>
        <v>396.126</v>
      </c>
      <c r="D80" s="22" t="n">
        <f aca="false">D25</f>
        <v>408.148</v>
      </c>
      <c r="E80" s="22" t="n">
        <f aca="false">E25</f>
        <v>193.421</v>
      </c>
      <c r="F80" s="22" t="n">
        <f aca="false">F25</f>
        <v>196.351</v>
      </c>
      <c r="G80" s="22" t="n">
        <f aca="false">G25</f>
        <v>411.078</v>
      </c>
      <c r="H80" s="2" t="s">
        <v>248</v>
      </c>
    </row>
    <row r="81" customFormat="false" ht="15" hidden="false" customHeight="false" outlineLevel="0" collapsed="false">
      <c r="A81" s="4" t="s">
        <v>249</v>
      </c>
      <c r="B81" s="22" t="n">
        <f aca="false">B30</f>
        <v>30.479</v>
      </c>
      <c r="C81" s="22" t="n">
        <f aca="false">C30</f>
        <v>36.143</v>
      </c>
      <c r="D81" s="22" t="n">
        <f aca="false">D30</f>
        <v>39.956</v>
      </c>
      <c r="E81" s="22" t="n">
        <f aca="false">E30</f>
        <v>19.513</v>
      </c>
      <c r="F81" s="22" t="n">
        <f aca="false">F30</f>
        <v>18.581</v>
      </c>
      <c r="G81" s="22" t="n">
        <f aca="false">G30</f>
        <v>39.024</v>
      </c>
      <c r="H81" s="2" t="s">
        <v>250</v>
      </c>
    </row>
    <row r="82" customFormat="false" ht="15" hidden="false" customHeight="false" outlineLevel="0" collapsed="false">
      <c r="A82" s="4" t="s">
        <v>190</v>
      </c>
      <c r="B82" s="22" t="n">
        <f aca="false">B31</f>
        <v>0</v>
      </c>
      <c r="C82" s="22" t="n">
        <f aca="false">C31</f>
        <v>0.377</v>
      </c>
      <c r="D82" s="22" t="n">
        <f aca="false">D31</f>
        <v>4.744</v>
      </c>
      <c r="E82" s="22" t="n">
        <f aca="false">E31</f>
        <v>0</v>
      </c>
      <c r="F82" s="22" t="n">
        <f aca="false">F31</f>
        <v>0</v>
      </c>
      <c r="G82" s="22" t="n">
        <f aca="false">G31</f>
        <v>4.744</v>
      </c>
      <c r="H82" s="2" t="s">
        <v>251</v>
      </c>
    </row>
    <row r="83" customFormat="false" ht="15" hidden="false" customHeight="false" outlineLevel="0" collapsed="false">
      <c r="A83" s="4" t="s">
        <v>252</v>
      </c>
      <c r="B83" s="22" t="n">
        <f aca="false">B32</f>
        <v>-77.486</v>
      </c>
      <c r="C83" s="22" t="n">
        <f aca="false">C32</f>
        <v>11.143</v>
      </c>
      <c r="D83" s="22" t="n">
        <f aca="false">D32</f>
        <v>18.436</v>
      </c>
      <c r="E83" s="22" t="n">
        <f aca="false">E32</f>
        <v>12.85</v>
      </c>
      <c r="F83" s="22" t="n">
        <f aca="false">F32</f>
        <v>7.32</v>
      </c>
      <c r="G83" s="22" t="n">
        <f aca="false">G32</f>
        <v>12.906</v>
      </c>
      <c r="H83" s="2" t="s">
        <v>253</v>
      </c>
    </row>
    <row r="84" customFormat="false" ht="15" hidden="false" customHeight="false" outlineLevel="0" collapsed="false">
      <c r="A84" s="4" t="s">
        <v>254</v>
      </c>
      <c r="B84" s="22" t="n">
        <f aca="false">-B13</f>
        <v>-5.53</v>
      </c>
      <c r="C84" s="22" t="n">
        <f aca="false">-C13</f>
        <v>-5.964</v>
      </c>
      <c r="D84" s="22" t="n">
        <f aca="false">-D13</f>
        <v>-7.409</v>
      </c>
      <c r="E84" s="22" t="n">
        <f aca="false">-E13</f>
        <v>-3.124</v>
      </c>
      <c r="F84" s="22" t="n">
        <f aca="false">-F13</f>
        <v>-3.393</v>
      </c>
      <c r="G84" s="22" t="n">
        <f aca="false">-G13</f>
        <v>-7.678</v>
      </c>
      <c r="H84" s="2" t="s">
        <v>255</v>
      </c>
    </row>
    <row r="85" customFormat="false" ht="15" hidden="false" customHeight="false" outlineLevel="0" collapsed="false">
      <c r="A85" s="4" t="s">
        <v>256</v>
      </c>
      <c r="B85" s="13" t="n">
        <v>4</v>
      </c>
      <c r="C85" s="13" t="n">
        <v>2.4</v>
      </c>
      <c r="D85" s="13" t="n">
        <v>4</v>
      </c>
      <c r="E85" s="13" t="n">
        <v>1.6</v>
      </c>
      <c r="F85" s="13" t="n">
        <v>1.1</v>
      </c>
      <c r="G85" s="22" t="n">
        <f aca="false">D85+F85-E85</f>
        <v>3.5</v>
      </c>
      <c r="H85" s="2" t="s">
        <v>257</v>
      </c>
    </row>
    <row r="86" customFormat="false" ht="15" hidden="false" customHeight="false" outlineLevel="0" collapsed="false">
      <c r="A86" s="23" t="s">
        <v>258</v>
      </c>
      <c r="B86" s="24" t="n">
        <f aca="false">SUM(B80:B85)</f>
        <v>423.652999999999</v>
      </c>
      <c r="C86" s="24" t="n">
        <f aca="false">SUM(C80:C85)</f>
        <v>440.225</v>
      </c>
      <c r="D86" s="24" t="n">
        <f aca="false">SUM(D80:D85)</f>
        <v>467.875</v>
      </c>
      <c r="E86" s="24" t="n">
        <f aca="false">SUM(E80:E85)</f>
        <v>224.26</v>
      </c>
      <c r="F86" s="24" t="n">
        <f aca="false">SUM(F80:F85)</f>
        <v>219.959</v>
      </c>
      <c r="G86" s="24" t="n">
        <f aca="false">SUM(G80:G85)</f>
        <v>463.574</v>
      </c>
    </row>
    <row r="87" customFormat="false" ht="15" hidden="false" customHeight="false" outlineLevel="0" collapsed="false">
      <c r="A87" s="4" t="s">
        <v>259</v>
      </c>
      <c r="B87" s="13" t="n">
        <v>0</v>
      </c>
      <c r="C87" s="13" t="n">
        <v>0</v>
      </c>
      <c r="D87" s="13" t="n">
        <v>0</v>
      </c>
      <c r="E87" s="13" t="n">
        <v>0</v>
      </c>
      <c r="F87" s="13" t="n">
        <v>0</v>
      </c>
      <c r="G87" s="30" t="n">
        <f aca="false">G86*MIN(Inputs!$B$26,Inputs!$D$26/(1-Inputs!$D$26))</f>
        <v>46.3574</v>
      </c>
      <c r="H87" s="2" t="s">
        <v>260</v>
      </c>
    </row>
    <row r="88" customFormat="false" ht="15" hidden="false" customHeight="false" outlineLevel="0" collapsed="false">
      <c r="A88" s="23" t="s">
        <v>261</v>
      </c>
      <c r="B88" s="36" t="n">
        <f aca="false">B86+B87</f>
        <v>423.652999999999</v>
      </c>
      <c r="C88" s="36" t="n">
        <f aca="false">C86+C87</f>
        <v>440.225</v>
      </c>
      <c r="D88" s="36" t="n">
        <f aca="false">D86+D87</f>
        <v>467.875</v>
      </c>
      <c r="E88" s="36" t="n">
        <f aca="false">E86+E87</f>
        <v>224.26</v>
      </c>
      <c r="F88" s="36" t="n">
        <f aca="false">F86+F87</f>
        <v>219.959</v>
      </c>
      <c r="G88" s="36" t="n">
        <f aca="false">G86+G87</f>
        <v>509.9314</v>
      </c>
      <c r="H88" s="2" t="s">
        <v>262</v>
      </c>
    </row>
    <row r="89" customFormat="false" ht="15" hidden="false" customHeight="false" outlineLevel="0" collapsed="false">
      <c r="A89" s="4" t="s">
        <v>263</v>
      </c>
      <c r="B89" s="29" t="n">
        <f aca="false">IF(B43=0,0,B88/B43-1)</f>
        <v>0.177811757183169</v>
      </c>
      <c r="C89" s="29" t="n">
        <f aca="false">IF(C43=0,0,C88/C43-1)</f>
        <v>0.13649271725605</v>
      </c>
      <c r="D89" s="29" t="n">
        <f aca="false">IF(D43=0,0,D88/D43-1)</f>
        <v>0.155991886129085</v>
      </c>
      <c r="E89" s="29" t="n">
        <f aca="false">IF(E43=0,0,E88/E43-1)</f>
        <v>0.168647764165151</v>
      </c>
      <c r="F89" s="29" t="n">
        <f aca="false">IF(F43=0,0,F88/F43-1)</f>
        <v>0.14073601559988</v>
      </c>
      <c r="G89" s="29" t="n">
        <f aca="false">IF(G43=0,0,G88/G43-1)</f>
        <v>0.262675250711898</v>
      </c>
    </row>
    <row r="90" customFormat="false" ht="15" hidden="false" customHeight="false" outlineLevel="0" collapsed="false">
      <c r="A90" s="4" t="s">
        <v>264</v>
      </c>
      <c r="B90" s="22" t="n">
        <f aca="false">B88-B43</f>
        <v>63.958</v>
      </c>
      <c r="C90" s="22" t="n">
        <f aca="false">C88-C43</f>
        <v>52.871</v>
      </c>
      <c r="D90" s="22" t="n">
        <f aca="false">D88-D43</f>
        <v>63.136</v>
      </c>
      <c r="E90" s="22" t="n">
        <f aca="false">E88-E43</f>
        <v>32.363</v>
      </c>
      <c r="F90" s="22" t="n">
        <f aca="false">F88-F43</f>
        <v>27.137</v>
      </c>
      <c r="G90" s="22" t="n">
        <f aca="false">G88-G43</f>
        <v>106.0814</v>
      </c>
    </row>
    <row r="92" customFormat="false" ht="15" hidden="false" customHeight="false" outlineLevel="0" collapsed="false">
      <c r="A92" s="2" t="s">
        <v>265</v>
      </c>
    </row>
    <row r="93" customFormat="false" ht="15" hidden="false" customHeight="false" outlineLevel="0" collapsed="false">
      <c r="A93" s="2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5"/>
  </cols>
  <sheetData>
    <row r="1" customFormat="false" ht="1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15" hidden="false" customHeight="false" outlineLevel="0" collapsed="false">
      <c r="A4" s="20" t="s">
        <v>269</v>
      </c>
      <c r="B4" s="21" t="s">
        <v>155</v>
      </c>
      <c r="C4" s="21" t="s">
        <v>156</v>
      </c>
      <c r="D4" s="21" t="s">
        <v>157</v>
      </c>
      <c r="E4" s="21" t="s">
        <v>158</v>
      </c>
      <c r="F4" s="21" t="s">
        <v>159</v>
      </c>
      <c r="G4" s="21" t="s">
        <v>160</v>
      </c>
      <c r="H4" s="21" t="s">
        <v>270</v>
      </c>
      <c r="I4" s="21" t="s">
        <v>197</v>
      </c>
    </row>
    <row r="5" customFormat="false" ht="15" hidden="false" customHeight="false" outlineLevel="0" collapsed="false">
      <c r="A5" s="8" t="s">
        <v>271</v>
      </c>
      <c r="B5" s="9"/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A6" s="4" t="s">
        <v>272</v>
      </c>
      <c r="B6" s="30" t="n">
        <f aca="false">Historicals!B17</f>
        <v>267.089999999999</v>
      </c>
      <c r="C6" s="30" t="n">
        <f aca="false">Historicals!C17</f>
        <v>211.823</v>
      </c>
      <c r="D6" s="30" t="n">
        <f aca="false">Historicals!D17</f>
        <v>207.585</v>
      </c>
      <c r="E6" s="30" t="n">
        <f aca="false">Historicals!E17</f>
        <v>97.2649999999998</v>
      </c>
      <c r="F6" s="30" t="n">
        <f aca="false">Historicals!F17</f>
        <v>99.2559999999998</v>
      </c>
      <c r="G6" s="30" t="n">
        <f aca="false">Historicals!G17</f>
        <v>209.576</v>
      </c>
    </row>
    <row r="7" customFormat="false" ht="15" hidden="false" customHeight="false" outlineLevel="0" collapsed="false">
      <c r="A7" s="4" t="s">
        <v>180</v>
      </c>
      <c r="B7" s="30" t="n">
        <f aca="false">Historicals!B12</f>
        <v>51.248</v>
      </c>
      <c r="C7" s="30" t="n">
        <f aca="false">Historicals!C12</f>
        <v>49.029</v>
      </c>
      <c r="D7" s="30" t="n">
        <f aca="false">Historicals!D12</f>
        <v>54.558</v>
      </c>
      <c r="E7" s="30" t="n">
        <f aca="false">Historicals!E12</f>
        <v>27.678</v>
      </c>
      <c r="F7" s="30" t="n">
        <f aca="false">Historicals!F12</f>
        <v>27.324</v>
      </c>
      <c r="G7" s="30" t="n">
        <f aca="false">Historicals!G12</f>
        <v>54.204</v>
      </c>
    </row>
    <row r="8" customFormat="false" ht="15" hidden="false" customHeight="false" outlineLevel="0" collapsed="false">
      <c r="A8" s="4" t="s">
        <v>181</v>
      </c>
      <c r="B8" s="30" t="n">
        <f aca="false">Historicals!B16</f>
        <v>91.652</v>
      </c>
      <c r="C8" s="30" t="n">
        <f aca="false">Historicals!C16</f>
        <v>71.776</v>
      </c>
      <c r="D8" s="30" t="n">
        <f aca="false">Historicals!D16</f>
        <v>75.315</v>
      </c>
      <c r="E8" s="30" t="n">
        <f aca="false">Historicals!E16</f>
        <v>35.152</v>
      </c>
      <c r="F8" s="30" t="n">
        <f aca="false">Historicals!F16</f>
        <v>35.734</v>
      </c>
      <c r="G8" s="30" t="n">
        <f aca="false">Historicals!G16</f>
        <v>75.897</v>
      </c>
    </row>
    <row r="9" customFormat="false" ht="15" hidden="false" customHeight="false" outlineLevel="0" collapsed="false">
      <c r="A9" s="4" t="s">
        <v>273</v>
      </c>
      <c r="B9" s="30" t="n">
        <f aca="false">Historicals!B24</f>
        <v>62.2</v>
      </c>
      <c r="C9" s="30" t="n">
        <f aca="false">Historicals!C24</f>
        <v>63.498</v>
      </c>
      <c r="D9" s="30" t="n">
        <f aca="false">Historicals!D24</f>
        <v>70.69</v>
      </c>
      <c r="E9" s="30" t="n">
        <f aca="false">Historicals!E24</f>
        <v>33.326</v>
      </c>
      <c r="F9" s="30" t="n">
        <f aca="false">Historicals!F24</f>
        <v>34.037</v>
      </c>
      <c r="G9" s="30" t="n">
        <f aca="false">Historicals!G24</f>
        <v>71.401</v>
      </c>
    </row>
    <row r="10" customFormat="false" ht="15" hidden="false" customHeight="false" outlineLevel="0" collapsed="false">
      <c r="A10" s="23" t="s">
        <v>274</v>
      </c>
      <c r="B10" s="24" t="n">
        <f aca="false">SUM(B6:B9)</f>
        <v>472.189999999999</v>
      </c>
      <c r="C10" s="24" t="n">
        <f aca="false">SUM(C6:C9)</f>
        <v>396.126</v>
      </c>
      <c r="D10" s="24" t="n">
        <f aca="false">SUM(D6:D9)</f>
        <v>408.148</v>
      </c>
      <c r="E10" s="24" t="n">
        <f aca="false">SUM(E6:E9)</f>
        <v>193.421</v>
      </c>
      <c r="F10" s="24" t="n">
        <f aca="false">SUM(F6:F9)</f>
        <v>196.351</v>
      </c>
      <c r="G10" s="24" t="n">
        <f aca="false">SUM(G6:G9)</f>
        <v>411.078</v>
      </c>
    </row>
    <row r="11" customFormat="false" ht="15" hidden="false" customHeight="false" outlineLevel="0" collapsed="false">
      <c r="A11" s="4" t="s">
        <v>275</v>
      </c>
      <c r="B11" s="33" t="n">
        <f aca="false">ROUND(B10-Historicals!B26,3)</f>
        <v>0</v>
      </c>
      <c r="C11" s="33" t="n">
        <f aca="false">ROUND(C10-Historicals!C26,3)</f>
        <v>0</v>
      </c>
      <c r="D11" s="33" t="n">
        <f aca="false">ROUND(D10-Historicals!D26,3)</f>
        <v>0</v>
      </c>
      <c r="E11" s="33" t="n">
        <f aca="false">ROUND(E10-Historicals!E26,3)</f>
        <v>0</v>
      </c>
      <c r="F11" s="33" t="n">
        <f aca="false">ROUND(F10-Historicals!F26,3)</f>
        <v>0</v>
      </c>
      <c r="G11" s="33" t="n">
        <f aca="false">ROUND(G10-Historicals!G26,3)</f>
        <v>0</v>
      </c>
    </row>
    <row r="13" customFormat="false" ht="15" hidden="false" customHeight="false" outlineLevel="0" collapsed="false">
      <c r="A13" s="8" t="s">
        <v>276</v>
      </c>
      <c r="B13" s="9"/>
      <c r="C13" s="9"/>
      <c r="D13" s="9"/>
      <c r="E13" s="9"/>
      <c r="F13" s="9"/>
      <c r="G13" s="9"/>
      <c r="H13" s="9"/>
      <c r="I13" s="9"/>
    </row>
    <row r="14" customFormat="false" ht="30" hidden="false" customHeight="true" outlineLevel="0" collapsed="false">
      <c r="A14" s="4" t="s">
        <v>277</v>
      </c>
      <c r="B14" s="22" t="n">
        <f aca="false">-B37-MAX(0,B40)</f>
        <v>-110.965</v>
      </c>
      <c r="C14" s="22" t="n">
        <f aca="false">-C37-MAX(0,C40)</f>
        <v>-5.208</v>
      </c>
      <c r="D14" s="22" t="n">
        <f aca="false">-D37-MAX(0,D40)</f>
        <v>-0</v>
      </c>
      <c r="E14" s="22" t="n">
        <f aca="false">-E37-MAX(0,E40)</f>
        <v>-0</v>
      </c>
      <c r="F14" s="22" t="n">
        <f aca="false">-F37-MAX(0,F40)</f>
        <v>-1.236</v>
      </c>
      <c r="G14" s="22" t="n">
        <f aca="false">-G37-MAX(0,G40)</f>
        <v>-3.05</v>
      </c>
      <c r="H14" s="37" t="s">
        <v>278</v>
      </c>
      <c r="I14" s="38" t="s">
        <v>279</v>
      </c>
    </row>
    <row r="15" customFormat="false" ht="30" hidden="false" customHeight="true" outlineLevel="0" collapsed="false">
      <c r="A15" s="4" t="s">
        <v>280</v>
      </c>
      <c r="B15" s="22" t="n">
        <f aca="false">Historicals!B31*$H$15</f>
        <v>0</v>
      </c>
      <c r="C15" s="22" t="n">
        <f aca="false">Historicals!C31*$H$15</f>
        <v>0</v>
      </c>
      <c r="D15" s="22" t="n">
        <f aca="false">Historicals!D31*$H$15</f>
        <v>0</v>
      </c>
      <c r="E15" s="22" t="n">
        <f aca="false">Historicals!E31*$H$15</f>
        <v>0</v>
      </c>
      <c r="F15" s="22" t="n">
        <f aca="false">Historicals!F31*$H$15</f>
        <v>0</v>
      </c>
      <c r="G15" s="22" t="n">
        <f aca="false">Historicals!G31*$H$15</f>
        <v>0</v>
      </c>
      <c r="H15" s="39" t="n">
        <f aca="false">Inputs!B25</f>
        <v>0</v>
      </c>
      <c r="I15" s="38" t="s">
        <v>281</v>
      </c>
    </row>
    <row r="16" customFormat="false" ht="30" hidden="false" customHeight="true" outlineLevel="0" collapsed="false">
      <c r="A16" s="4" t="s">
        <v>282</v>
      </c>
      <c r="B16" s="22" t="n">
        <f aca="false">Historicals!B30*$H$16</f>
        <v>0</v>
      </c>
      <c r="C16" s="22" t="n">
        <f aca="false">Historicals!C30*$H$16</f>
        <v>0</v>
      </c>
      <c r="D16" s="22" t="n">
        <f aca="false">Historicals!D30*$H$16</f>
        <v>0</v>
      </c>
      <c r="E16" s="22" t="n">
        <f aca="false">Historicals!E30*$H$16</f>
        <v>0</v>
      </c>
      <c r="F16" s="22" t="n">
        <f aca="false">Historicals!F30*$H$16</f>
        <v>0</v>
      </c>
      <c r="G16" s="22" t="n">
        <f aca="false">Historicals!G30*$H$16</f>
        <v>0</v>
      </c>
      <c r="H16" s="39" t="n">
        <f aca="false">Inputs!B23</f>
        <v>0</v>
      </c>
      <c r="I16" s="38" t="s">
        <v>283</v>
      </c>
    </row>
    <row r="17" customFormat="false" ht="30" hidden="false" customHeight="true" outlineLevel="0" collapsed="false">
      <c r="A17" s="4" t="s">
        <v>284</v>
      </c>
      <c r="B17" s="22" t="n">
        <f aca="false">(Historicals!B32+B37-B38)*$H$17</f>
        <v>0</v>
      </c>
      <c r="C17" s="22" t="n">
        <f aca="false">(Historicals!C32+C37-C38)*$H$17</f>
        <v>0</v>
      </c>
      <c r="D17" s="22" t="n">
        <f aca="false">(Historicals!D32+D37-D38)*$H$17</f>
        <v>0</v>
      </c>
      <c r="E17" s="22" t="n">
        <f aca="false">(Historicals!E32+E37-E38)*$H$17</f>
        <v>0</v>
      </c>
      <c r="F17" s="22" t="n">
        <f aca="false">(Historicals!F32+F37-F38)*$H$17</f>
        <v>0</v>
      </c>
      <c r="G17" s="22" t="n">
        <f aca="false">(Historicals!G32+G37-G38)*$H$17</f>
        <v>0</v>
      </c>
      <c r="H17" s="39" t="n">
        <f aca="false">Inputs!B24</f>
        <v>0</v>
      </c>
      <c r="I17" s="38" t="s">
        <v>285</v>
      </c>
    </row>
    <row r="18" customFormat="false" ht="30" hidden="false" customHeight="true" outlineLevel="0" collapsed="false">
      <c r="A18" s="4" t="s">
        <v>286</v>
      </c>
      <c r="B18" s="22" t="n">
        <f aca="false">(B38-MIN(0,B40))*$H$18</f>
        <v>0</v>
      </c>
      <c r="C18" s="22" t="n">
        <f aca="false">(C38-MIN(0,C40))*$H$18</f>
        <v>0</v>
      </c>
      <c r="D18" s="22" t="n">
        <f aca="false">(D38-MIN(0,D40))*$H$18</f>
        <v>0</v>
      </c>
      <c r="E18" s="22" t="n">
        <f aca="false">(E38-MIN(0,E40))*$H$18</f>
        <v>0</v>
      </c>
      <c r="F18" s="22" t="n">
        <f aca="false">(F38-MIN(0,F40))*$H$18</f>
        <v>0</v>
      </c>
      <c r="G18" s="22" t="n">
        <f aca="false">(G38-MIN(0,G40))*$H$18</f>
        <v>0</v>
      </c>
      <c r="H18" s="40" t="n">
        <v>0</v>
      </c>
      <c r="I18" s="38" t="s">
        <v>287</v>
      </c>
    </row>
    <row r="19" customFormat="false" ht="30" hidden="false" customHeight="true" outlineLevel="0" collapsed="false">
      <c r="A19" s="4" t="s">
        <v>288</v>
      </c>
      <c r="B19" s="22" t="n">
        <f aca="false">-Historicals!B13+Historicals!B85</f>
        <v>-1.53</v>
      </c>
      <c r="C19" s="22" t="n">
        <f aca="false">-Historicals!C13+Historicals!C85</f>
        <v>-3.564</v>
      </c>
      <c r="D19" s="22" t="n">
        <f aca="false">-Historicals!D13+Historicals!D85</f>
        <v>-3.409</v>
      </c>
      <c r="E19" s="22" t="n">
        <f aca="false">-Historicals!E13+Historicals!E85</f>
        <v>-1.524</v>
      </c>
      <c r="F19" s="22" t="n">
        <f aca="false">-Historicals!F13+Historicals!F85</f>
        <v>-2.293</v>
      </c>
      <c r="G19" s="22" t="n">
        <f aca="false">-Historicals!G13+Historicals!G85</f>
        <v>-4.178</v>
      </c>
      <c r="H19" s="37" t="s">
        <v>278</v>
      </c>
      <c r="I19" s="38" t="s">
        <v>289</v>
      </c>
    </row>
    <row r="20" customFormat="false" ht="30" hidden="false" customHeight="true" outlineLevel="0" collapsed="false">
      <c r="A20" s="4" t="s">
        <v>290</v>
      </c>
      <c r="B20" s="22" t="n">
        <f aca="false">Historicals!B87*$H$20</f>
        <v>0</v>
      </c>
      <c r="C20" s="22" t="n">
        <f aca="false">Historicals!C87*$H$20</f>
        <v>0</v>
      </c>
      <c r="D20" s="22" t="n">
        <f aca="false">Historicals!D87*$H$20</f>
        <v>0</v>
      </c>
      <c r="E20" s="22" t="n">
        <f aca="false">Historicals!E87*$H$20</f>
        <v>0</v>
      </c>
      <c r="F20" s="22" t="n">
        <f aca="false">Historicals!F87*$H$20</f>
        <v>0</v>
      </c>
      <c r="G20" s="22" t="n">
        <f aca="false">Historicals!G87*$H$20</f>
        <v>0</v>
      </c>
      <c r="H20" s="40" t="n">
        <v>0</v>
      </c>
      <c r="I20" s="38" t="s">
        <v>291</v>
      </c>
    </row>
    <row r="21" customFormat="false" ht="23.85" hidden="false" customHeight="false" outlineLevel="0" collapsed="false">
      <c r="A21" s="4" t="s">
        <v>292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22" t="n">
        <f aca="false">D21+F21-E21</f>
        <v>0</v>
      </c>
      <c r="H21" s="37" t="s">
        <v>278</v>
      </c>
      <c r="I21" s="38" t="s">
        <v>293</v>
      </c>
    </row>
    <row r="22" customFormat="false" ht="15" hidden="false" customHeight="false" outlineLevel="0" collapsed="false">
      <c r="A22" s="23" t="s">
        <v>294</v>
      </c>
      <c r="B22" s="24" t="n">
        <f aca="false">SUM(B14:B21)</f>
        <v>-112.495</v>
      </c>
      <c r="C22" s="24" t="n">
        <f aca="false">SUM(C14:C21)</f>
        <v>-8.772</v>
      </c>
      <c r="D22" s="24" t="n">
        <f aca="false">SUM(D14:D21)</f>
        <v>-3.409</v>
      </c>
      <c r="E22" s="24" t="n">
        <f aca="false">SUM(E14:E21)</f>
        <v>-1.524</v>
      </c>
      <c r="F22" s="24" t="n">
        <f aca="false">SUM(F14:F21)</f>
        <v>-3.529</v>
      </c>
      <c r="G22" s="24" t="n">
        <f aca="false">SUM(G14:G21)</f>
        <v>-7.228</v>
      </c>
      <c r="I22" s="2" t="s">
        <v>295</v>
      </c>
    </row>
    <row r="23" customFormat="false" ht="15" hidden="false" customHeight="false" outlineLevel="0" collapsed="false">
      <c r="A23" s="23" t="s">
        <v>296</v>
      </c>
      <c r="B23" s="36" t="n">
        <f aca="false">B10+B22</f>
        <v>359.694999999999</v>
      </c>
      <c r="C23" s="36" t="n">
        <f aca="false">C10+C22</f>
        <v>387.354</v>
      </c>
      <c r="D23" s="36" t="n">
        <f aca="false">D10+D22</f>
        <v>404.739</v>
      </c>
      <c r="E23" s="36" t="n">
        <f aca="false">E10+E22</f>
        <v>191.897</v>
      </c>
      <c r="F23" s="36" t="n">
        <f aca="false">F10+F22</f>
        <v>192.822</v>
      </c>
      <c r="G23" s="36" t="n">
        <f aca="false">G10+G22</f>
        <v>403.85</v>
      </c>
    </row>
    <row r="24" customFormat="false" ht="15" hidden="false" customHeight="false" outlineLevel="0" collapsed="false">
      <c r="A24" s="4" t="s">
        <v>297</v>
      </c>
      <c r="B24" s="41" t="n">
        <f aca="false">IF(Historicals!B5=0,0,B23/Historicals!B5)</f>
        <v>0.083604814514202</v>
      </c>
      <c r="C24" s="41" t="n">
        <f aca="false">IF(Historicals!C5=0,0,C23/Historicals!C5)</f>
        <v>0.0774986685212003</v>
      </c>
      <c r="D24" s="41" t="n">
        <f aca="false">IF(Historicals!D5=0,0,D23/Historicals!D5)</f>
        <v>0.0716413202610701</v>
      </c>
      <c r="E24" s="41" t="n">
        <f aca="false">IF(Historicals!E5=0,0,E23/Historicals!E5)</f>
        <v>0.0698046639265755</v>
      </c>
      <c r="F24" s="41" t="n">
        <f aca="false">IF(Historicals!F5=0,0,F23/Historicals!F5)</f>
        <v>0.0690362592345153</v>
      </c>
      <c r="G24" s="41" t="n">
        <f aca="false">IF(Historicals!G5=0,0,G23/Historicals!G5)</f>
        <v>0.070931564959157</v>
      </c>
    </row>
    <row r="25" customFormat="false" ht="15" hidden="false" customHeight="false" outlineLevel="0" collapsed="false">
      <c r="A25" s="4" t="s">
        <v>193</v>
      </c>
      <c r="B25" s="30" t="n">
        <f aca="false">Historicals!B33</f>
        <v>425.182999999999</v>
      </c>
      <c r="C25" s="30" t="n">
        <f aca="false">Historicals!C33</f>
        <v>443.789</v>
      </c>
      <c r="D25" s="30" t="n">
        <f aca="false">Historicals!D33</f>
        <v>471.284</v>
      </c>
      <c r="E25" s="30" t="n">
        <f aca="false">Historicals!E33</f>
        <v>225.784</v>
      </c>
      <c r="F25" s="30" t="n">
        <f aca="false">Historicals!F33</f>
        <v>222.252</v>
      </c>
      <c r="G25" s="30" t="n">
        <f aca="false">Historicals!G33</f>
        <v>467.752</v>
      </c>
    </row>
    <row r="26" customFormat="false" ht="15" hidden="false" customHeight="false" outlineLevel="0" collapsed="false">
      <c r="A26" s="4" t="s">
        <v>298</v>
      </c>
      <c r="B26" s="22" t="n">
        <f aca="false">B23-B25</f>
        <v>-65.488</v>
      </c>
      <c r="C26" s="22" t="n">
        <f aca="false">C23-C25</f>
        <v>-56.435</v>
      </c>
      <c r="D26" s="22" t="n">
        <f aca="false">D23-D25</f>
        <v>-66.545</v>
      </c>
      <c r="E26" s="22" t="n">
        <f aca="false">E23-E25</f>
        <v>-33.887</v>
      </c>
      <c r="F26" s="22" t="n">
        <f aca="false">F23-F25</f>
        <v>-29.43</v>
      </c>
      <c r="G26" s="22" t="n">
        <f aca="false">G23-G25</f>
        <v>-63.902</v>
      </c>
    </row>
    <row r="27" customFormat="false" ht="15" hidden="false" customHeight="false" outlineLevel="0" collapsed="false">
      <c r="A27" s="4" t="s">
        <v>299</v>
      </c>
      <c r="B27" s="29" t="n">
        <f aca="false">IF(B25=0,0,B26/B25)</f>
        <v>-0.154023091233657</v>
      </c>
      <c r="C27" s="29" t="n">
        <f aca="false">IF(C25=0,0,C26/C25)</f>
        <v>-0.127166288483942</v>
      </c>
      <c r="D27" s="29" t="n">
        <f aca="false">IF(D25=0,0,D26/D25)</f>
        <v>-0.141199361743662</v>
      </c>
      <c r="E27" s="29" t="n">
        <f aca="false">IF(E25=0,0,E26/E25)</f>
        <v>-0.150085922828899</v>
      </c>
      <c r="F27" s="29" t="n">
        <f aca="false">IF(F25=0,0,F26/F25)</f>
        <v>-0.132417256087684</v>
      </c>
      <c r="G27" s="29" t="n">
        <f aca="false">IF(G25=0,0,G26/G25)</f>
        <v>-0.136615129384802</v>
      </c>
    </row>
    <row r="28" customFormat="false" ht="15" hidden="false" customHeight="false" outlineLevel="0" collapsed="false">
      <c r="A28" s="4" t="s">
        <v>300</v>
      </c>
      <c r="B28" s="33" t="n">
        <f aca="false">ROUND(B23-Historicals!B43,3)</f>
        <v>0</v>
      </c>
      <c r="C28" s="33" t="n">
        <f aca="false">ROUND(C23-Historicals!C43,3)</f>
        <v>0</v>
      </c>
      <c r="D28" s="33" t="n">
        <f aca="false">ROUND(D23-Historicals!D43,3)</f>
        <v>0</v>
      </c>
      <c r="E28" s="33" t="n">
        <f aca="false">ROUND(E23-Historicals!E43,3)</f>
        <v>0</v>
      </c>
      <c r="F28" s="33" t="n">
        <f aca="false">ROUND(F23-Historicals!F43,3)</f>
        <v>0</v>
      </c>
      <c r="G28" s="33" t="n">
        <f aca="false">ROUND(G23-Historicals!G43,3)</f>
        <v>0</v>
      </c>
    </row>
    <row r="30" customFormat="false" ht="15" hidden="false" customHeight="false" outlineLevel="0" collapsed="false">
      <c r="A30" s="8" t="s">
        <v>301</v>
      </c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4" t="s">
        <v>302</v>
      </c>
      <c r="B31" s="13" t="n">
        <v>27.391</v>
      </c>
      <c r="C31" s="13" t="n">
        <v>28.505</v>
      </c>
      <c r="D31" s="13" t="n">
        <v>30.737</v>
      </c>
      <c r="E31" s="13" t="n">
        <v>15.107</v>
      </c>
      <c r="F31" s="13" t="n">
        <v>16.16</v>
      </c>
      <c r="G31" s="22" t="n">
        <f aca="false">D31+F31-E31</f>
        <v>31.79</v>
      </c>
      <c r="I31" s="2" t="s">
        <v>303</v>
      </c>
    </row>
    <row r="32" customFormat="false" ht="15" hidden="false" customHeight="false" outlineLevel="0" collapsed="false">
      <c r="A32" s="23" t="s">
        <v>304</v>
      </c>
      <c r="B32" s="32" t="n">
        <f aca="false">B23+B31</f>
        <v>387.085999999999</v>
      </c>
      <c r="C32" s="32" t="n">
        <f aca="false">C23+C31</f>
        <v>415.859</v>
      </c>
      <c r="D32" s="32" t="n">
        <f aca="false">D23+D31</f>
        <v>435.476</v>
      </c>
      <c r="E32" s="32" t="n">
        <f aca="false">E23+E31</f>
        <v>207.004</v>
      </c>
      <c r="F32" s="32" t="n">
        <f aca="false">F23+F31</f>
        <v>208.982</v>
      </c>
      <c r="G32" s="32" t="n">
        <f aca="false">G23+G31</f>
        <v>435.64</v>
      </c>
      <c r="I32" s="2" t="s">
        <v>305</v>
      </c>
    </row>
    <row r="33" customFormat="false" ht="15" hidden="false" customHeight="false" outlineLevel="0" collapsed="false">
      <c r="A33" s="4" t="s">
        <v>306</v>
      </c>
      <c r="B33" s="29" t="n">
        <f aca="false">IF(B32=0,0,B31/B32)</f>
        <v>0.0707620528771385</v>
      </c>
      <c r="C33" s="29" t="n">
        <f aca="false">IF(C32=0,0,C31/C32)</f>
        <v>0.0685448673709117</v>
      </c>
      <c r="D33" s="29" t="n">
        <f aca="false">IF(D32=0,0,D31/D32)</f>
        <v>0.0705825349732246</v>
      </c>
      <c r="E33" s="29" t="n">
        <f aca="false">IF(E32=0,0,E31/E32)</f>
        <v>0.0729792661011382</v>
      </c>
      <c r="F33" s="29" t="n">
        <f aca="false">IF(F32=0,0,F31/F32)</f>
        <v>0.0773272339244529</v>
      </c>
      <c r="G33" s="29" t="n">
        <f aca="false">IF(G32=0,0,G31/G32)</f>
        <v>0.0729730970526123</v>
      </c>
    </row>
    <row r="35" customFormat="false" ht="15" hidden="false" customHeight="false" outlineLevel="0" collapsed="false">
      <c r="A35" s="8" t="s">
        <v>307</v>
      </c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4" t="s">
        <v>308</v>
      </c>
      <c r="B36" s="30" t="n">
        <f aca="false">Historicals!B14</f>
        <v>89.865</v>
      </c>
      <c r="C36" s="30" t="n">
        <f aca="false">Historicals!C14</f>
        <v>4.831</v>
      </c>
      <c r="D36" s="30" t="n">
        <f aca="false">Historicals!D14</f>
        <v>-7.857</v>
      </c>
      <c r="E36" s="30" t="n">
        <f aca="false">Historicals!E14</f>
        <v>-4.927</v>
      </c>
      <c r="F36" s="30" t="n">
        <f aca="false">Historicals!F14</f>
        <v>1.236</v>
      </c>
      <c r="G36" s="30" t="n">
        <f aca="false">Historicals!G14</f>
        <v>-1.694</v>
      </c>
    </row>
    <row r="37" customFormat="false" ht="15" hidden="false" customHeight="false" outlineLevel="0" collapsed="false">
      <c r="A37" s="4" t="s">
        <v>309</v>
      </c>
      <c r="B37" s="13" t="n">
        <v>106</v>
      </c>
      <c r="C37" s="13" t="n">
        <v>0</v>
      </c>
      <c r="D37" s="13" t="n">
        <v>0</v>
      </c>
      <c r="E37" s="13" t="n">
        <v>0</v>
      </c>
      <c r="F37" s="13" t="n">
        <v>0</v>
      </c>
      <c r="G37" s="22" t="n">
        <f aca="false">D37+F37-E37</f>
        <v>0</v>
      </c>
      <c r="I37" s="42" t="s">
        <v>310</v>
      </c>
    </row>
    <row r="38" customFormat="false" ht="15" hidden="false" customHeight="false" outlineLevel="0" collapsed="false">
      <c r="A38" s="4" t="s">
        <v>311</v>
      </c>
      <c r="B38" s="13" t="n">
        <v>21.1</v>
      </c>
      <c r="C38" s="13" t="n">
        <v>0</v>
      </c>
      <c r="D38" s="13" t="n">
        <v>0</v>
      </c>
      <c r="E38" s="13" t="n">
        <v>0</v>
      </c>
      <c r="F38" s="13" t="n">
        <v>0</v>
      </c>
      <c r="G38" s="22" t="n">
        <f aca="false">D38+F38-E38</f>
        <v>0</v>
      </c>
      <c r="I38" s="42" t="s">
        <v>312</v>
      </c>
    </row>
    <row r="39" customFormat="false" ht="15" hidden="false" customHeight="false" outlineLevel="0" collapsed="false">
      <c r="A39" s="4" t="s">
        <v>313</v>
      </c>
      <c r="B39" s="30" t="n">
        <f aca="false">Historicals!B31</f>
        <v>0</v>
      </c>
      <c r="C39" s="30" t="n">
        <f aca="false">Historicals!C31</f>
        <v>0.377</v>
      </c>
      <c r="D39" s="30" t="n">
        <f aca="false">Historicals!D31</f>
        <v>4.744</v>
      </c>
      <c r="E39" s="30" t="n">
        <f aca="false">Historicals!E31</f>
        <v>0</v>
      </c>
      <c r="F39" s="30" t="n">
        <f aca="false">Historicals!F31</f>
        <v>0</v>
      </c>
      <c r="G39" s="30" t="n">
        <f aca="false">Historicals!G31</f>
        <v>4.744</v>
      </c>
    </row>
    <row r="40" customFormat="false" ht="23.85" hidden="false" customHeight="false" outlineLevel="0" collapsed="false">
      <c r="A40" s="23" t="s">
        <v>314</v>
      </c>
      <c r="B40" s="32" t="n">
        <f aca="false">B36-B37+B38+B39</f>
        <v>4.965</v>
      </c>
      <c r="C40" s="32" t="n">
        <f aca="false">C36-C37+C38+C39</f>
        <v>5.208</v>
      </c>
      <c r="D40" s="32" t="n">
        <f aca="false">D36-D37+D38+D39</f>
        <v>-3.113</v>
      </c>
      <c r="E40" s="32" t="n">
        <f aca="false">E36-E37+E38+E39</f>
        <v>-4.927</v>
      </c>
      <c r="F40" s="32" t="n">
        <f aca="false">F36-F37+F38+F39</f>
        <v>1.236</v>
      </c>
      <c r="G40" s="32" t="n">
        <f aca="false">G36-G37+G38+G39</f>
        <v>3.05</v>
      </c>
      <c r="I40" s="42" t="s">
        <v>315</v>
      </c>
    </row>
    <row r="42" customFormat="false" ht="15" hidden="false" customHeight="false" outlineLevel="0" collapsed="false">
      <c r="A42" s="8" t="s">
        <v>316</v>
      </c>
      <c r="B42" s="9"/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A43" s="20" t="s">
        <v>317</v>
      </c>
      <c r="B43" s="21" t="s">
        <v>318</v>
      </c>
      <c r="C43" s="21" t="s">
        <v>319</v>
      </c>
      <c r="D43" s="21" t="s">
        <v>320</v>
      </c>
      <c r="E43" s="21" t="s">
        <v>321</v>
      </c>
      <c r="F43" s="21" t="s">
        <v>322</v>
      </c>
      <c r="G43" s="21" t="s">
        <v>323</v>
      </c>
      <c r="H43" s="21" t="s">
        <v>270</v>
      </c>
      <c r="I43" s="21" t="s">
        <v>324</v>
      </c>
    </row>
    <row r="44" customFormat="false" ht="15" hidden="false" customHeight="false" outlineLevel="0" collapsed="false">
      <c r="A44" s="4" t="s">
        <v>325</v>
      </c>
      <c r="B44" s="43" t="s">
        <v>326</v>
      </c>
      <c r="C44" s="43" t="s">
        <v>327</v>
      </c>
      <c r="D44" s="43" t="s">
        <v>328</v>
      </c>
      <c r="E44" s="43" t="s">
        <v>327</v>
      </c>
      <c r="F44" s="43" t="s">
        <v>327</v>
      </c>
      <c r="G44" s="44" t="s">
        <v>329</v>
      </c>
      <c r="H44" s="45" t="n">
        <f aca="false">1</f>
        <v>1</v>
      </c>
      <c r="I44" s="4" t="s">
        <v>330</v>
      </c>
    </row>
    <row r="45" customFormat="false" ht="15" hidden="false" customHeight="false" outlineLevel="0" collapsed="false">
      <c r="A45" s="4" t="s">
        <v>331</v>
      </c>
      <c r="B45" s="43" t="s">
        <v>332</v>
      </c>
      <c r="C45" s="43" t="s">
        <v>327</v>
      </c>
      <c r="D45" s="43" t="s">
        <v>333</v>
      </c>
      <c r="E45" s="43" t="s">
        <v>334</v>
      </c>
      <c r="F45" s="43" t="s">
        <v>327</v>
      </c>
      <c r="G45" s="44" t="s">
        <v>329</v>
      </c>
      <c r="H45" s="45" t="n">
        <f aca="false">1</f>
        <v>1</v>
      </c>
      <c r="I45" s="4" t="s">
        <v>335</v>
      </c>
    </row>
    <row r="46" customFormat="false" ht="15" hidden="false" customHeight="false" outlineLevel="0" collapsed="false">
      <c r="A46" s="4" t="s">
        <v>336</v>
      </c>
      <c r="B46" s="43" t="s">
        <v>337</v>
      </c>
      <c r="C46" s="43" t="s">
        <v>338</v>
      </c>
      <c r="D46" s="43" t="s">
        <v>339</v>
      </c>
      <c r="E46" s="43" t="s">
        <v>338</v>
      </c>
      <c r="F46" s="43" t="s">
        <v>338</v>
      </c>
      <c r="G46" s="44" t="s">
        <v>340</v>
      </c>
      <c r="H46" s="45" t="n">
        <f aca="false">H15</f>
        <v>0</v>
      </c>
      <c r="I46" s="4" t="s">
        <v>341</v>
      </c>
    </row>
    <row r="47" customFormat="false" ht="15" hidden="false" customHeight="false" outlineLevel="0" collapsed="false">
      <c r="A47" s="4" t="s">
        <v>342</v>
      </c>
      <c r="B47" s="43" t="s">
        <v>337</v>
      </c>
      <c r="C47" s="43" t="s">
        <v>338</v>
      </c>
      <c r="D47" s="43" t="s">
        <v>343</v>
      </c>
      <c r="E47" s="43" t="s">
        <v>338</v>
      </c>
      <c r="F47" s="43" t="s">
        <v>344</v>
      </c>
      <c r="G47" s="44" t="s">
        <v>340</v>
      </c>
      <c r="H47" s="45" t="n">
        <f aca="false">H16</f>
        <v>0</v>
      </c>
      <c r="I47" s="4" t="s">
        <v>345</v>
      </c>
    </row>
    <row r="48" customFormat="false" ht="15" hidden="false" customHeight="false" outlineLevel="0" collapsed="false">
      <c r="A48" s="4" t="s">
        <v>346</v>
      </c>
      <c r="B48" s="43" t="s">
        <v>347</v>
      </c>
      <c r="C48" s="43" t="s">
        <v>334</v>
      </c>
      <c r="D48" s="43" t="s">
        <v>348</v>
      </c>
      <c r="E48" s="43" t="s">
        <v>349</v>
      </c>
      <c r="F48" s="43" t="s">
        <v>344</v>
      </c>
      <c r="G48" s="44" t="s">
        <v>340</v>
      </c>
      <c r="H48" s="45" t="n">
        <f aca="false">H17</f>
        <v>0</v>
      </c>
      <c r="I48" s="4" t="s">
        <v>350</v>
      </c>
    </row>
    <row r="49" customFormat="false" ht="15" hidden="false" customHeight="false" outlineLevel="0" collapsed="false">
      <c r="A49" s="4" t="s">
        <v>351</v>
      </c>
      <c r="B49" s="43" t="s">
        <v>347</v>
      </c>
      <c r="C49" s="43" t="s">
        <v>338</v>
      </c>
      <c r="D49" s="43" t="s">
        <v>352</v>
      </c>
      <c r="E49" s="43" t="s">
        <v>338</v>
      </c>
      <c r="F49" s="43" t="s">
        <v>353</v>
      </c>
      <c r="G49" s="44" t="s">
        <v>354</v>
      </c>
      <c r="H49" s="45" t="n">
        <f aca="false">H18</f>
        <v>0</v>
      </c>
      <c r="I49" s="4" t="s">
        <v>355</v>
      </c>
    </row>
    <row r="50" customFormat="false" ht="15" hidden="false" customHeight="false" outlineLevel="0" collapsed="false">
      <c r="A50" s="4" t="s">
        <v>356</v>
      </c>
      <c r="B50" s="43" t="s">
        <v>357</v>
      </c>
      <c r="C50" s="43" t="s">
        <v>338</v>
      </c>
      <c r="D50" s="43" t="s">
        <v>358</v>
      </c>
      <c r="E50" s="43" t="s">
        <v>338</v>
      </c>
      <c r="F50" s="43" t="s">
        <v>278</v>
      </c>
      <c r="G50" s="44" t="s">
        <v>359</v>
      </c>
      <c r="H50" s="45" t="n">
        <f aca="false">1</f>
        <v>1</v>
      </c>
      <c r="I50" s="4" t="s">
        <v>360</v>
      </c>
    </row>
    <row r="51" customFormat="false" ht="15" hidden="false" customHeight="false" outlineLevel="0" collapsed="false">
      <c r="A51" s="4" t="s">
        <v>361</v>
      </c>
      <c r="B51" s="43" t="s">
        <v>362</v>
      </c>
      <c r="C51" s="43" t="s">
        <v>344</v>
      </c>
      <c r="D51" s="43" t="s">
        <v>278</v>
      </c>
      <c r="E51" s="43" t="s">
        <v>344</v>
      </c>
      <c r="F51" s="43" t="s">
        <v>278</v>
      </c>
      <c r="G51" s="44" t="s">
        <v>340</v>
      </c>
      <c r="H51" s="45" t="n">
        <f aca="false">H20</f>
        <v>0</v>
      </c>
      <c r="I51" s="4" t="s">
        <v>363</v>
      </c>
    </row>
    <row r="52" customFormat="false" ht="15" hidden="false" customHeight="false" outlineLevel="0" collapsed="false">
      <c r="A52" s="4" t="s">
        <v>364</v>
      </c>
      <c r="B52" s="43" t="s">
        <v>278</v>
      </c>
      <c r="C52" s="43" t="s">
        <v>278</v>
      </c>
      <c r="D52" s="43" t="s">
        <v>278</v>
      </c>
      <c r="E52" s="43" t="s">
        <v>278</v>
      </c>
      <c r="F52" s="43" t="s">
        <v>278</v>
      </c>
      <c r="G52" s="44" t="s">
        <v>365</v>
      </c>
      <c r="I52" s="4" t="s">
        <v>366</v>
      </c>
    </row>
    <row r="53" customFormat="false" ht="15" hidden="false" customHeight="false" outlineLevel="0" collapsed="false">
      <c r="A53" s="4" t="s">
        <v>367</v>
      </c>
      <c r="B53" s="43" t="s">
        <v>278</v>
      </c>
      <c r="C53" s="43" t="s">
        <v>278</v>
      </c>
      <c r="D53" s="43" t="s">
        <v>278</v>
      </c>
      <c r="E53" s="43" t="s">
        <v>278</v>
      </c>
      <c r="F53" s="43" t="s">
        <v>278</v>
      </c>
      <c r="G53" s="44" t="s">
        <v>368</v>
      </c>
      <c r="I53" s="4" t="s">
        <v>369</v>
      </c>
    </row>
    <row r="55" customFormat="false" ht="15" hidden="false" customHeight="false" outlineLevel="0" collapsed="false">
      <c r="A55" s="8" t="s">
        <v>370</v>
      </c>
      <c r="B55" s="9"/>
      <c r="C55" s="9"/>
      <c r="D55" s="9"/>
      <c r="E55" s="9"/>
      <c r="F55" s="9"/>
      <c r="G55" s="9"/>
      <c r="H55" s="9"/>
      <c r="I55" s="9"/>
    </row>
    <row r="56" customFormat="false" ht="23.85" hidden="false" customHeight="false" outlineLevel="0" collapsed="false">
      <c r="A56" s="20" t="s">
        <v>371</v>
      </c>
      <c r="B56" s="21" t="s">
        <v>372</v>
      </c>
      <c r="C56" s="21" t="s">
        <v>184</v>
      </c>
      <c r="D56" s="21" t="s">
        <v>373</v>
      </c>
      <c r="E56" s="21" t="s">
        <v>374</v>
      </c>
    </row>
    <row r="57" customFormat="false" ht="15" hidden="false" customHeight="false" outlineLevel="0" collapsed="false">
      <c r="A57" s="4" t="s">
        <v>375</v>
      </c>
      <c r="B57" s="22" t="n">
        <f aca="false">0</f>
        <v>0</v>
      </c>
      <c r="C57" s="22" t="n">
        <f aca="false">$G$23+B57</f>
        <v>403.85</v>
      </c>
      <c r="D57" s="31" t="n">
        <f aca="false">IF(C57=0,0,Inputs!$B$95/C57)</f>
        <v>7.7999257149932</v>
      </c>
      <c r="E57" s="31" t="n">
        <f aca="false">IF(C57=0,0,Cap_Stack!$B$18/C57)</f>
        <v>7.6662003219017</v>
      </c>
    </row>
    <row r="58" customFormat="false" ht="15" hidden="false" customHeight="false" outlineLevel="0" collapsed="false">
      <c r="A58" s="4" t="s">
        <v>376</v>
      </c>
      <c r="B58" s="30" t="n">
        <f aca="false">Historicals!G31*(1-$H$15)</f>
        <v>4.744</v>
      </c>
      <c r="C58" s="22" t="n">
        <f aca="false">$G$23+B58</f>
        <v>408.594</v>
      </c>
      <c r="D58" s="31" t="n">
        <f aca="false">IF(C58=0,0,Inputs!$B$95/C58)</f>
        <v>7.70936430784594</v>
      </c>
      <c r="E58" s="31" t="n">
        <f aca="false">IF(C58=0,0,Cap_Stack!$B$18/C58)</f>
        <v>7.57719153976809</v>
      </c>
    </row>
    <row r="59" customFormat="false" ht="15" hidden="false" customHeight="false" outlineLevel="0" collapsed="false">
      <c r="A59" s="4" t="s">
        <v>377</v>
      </c>
      <c r="B59" s="30" t="n">
        <f aca="false">Historicals!G30*(1-$H$16)</f>
        <v>39.024</v>
      </c>
      <c r="C59" s="22" t="n">
        <f aca="false">$G$23+B59</f>
        <v>442.874</v>
      </c>
      <c r="D59" s="31" t="n">
        <f aca="false">IF(C59=0,0,Inputs!$B$95/C59)</f>
        <v>7.11263248689244</v>
      </c>
      <c r="E59" s="31" t="n">
        <f aca="false">IF(C59=0,0,Cap_Stack!$B$18/C59)</f>
        <v>6.99069035436716</v>
      </c>
    </row>
    <row r="60" customFormat="false" ht="15" hidden="false" customHeight="false" outlineLevel="0" collapsed="false">
      <c r="A60" s="4" t="s">
        <v>378</v>
      </c>
      <c r="B60" s="22" t="n">
        <f aca="false">B58+B59</f>
        <v>43.768</v>
      </c>
      <c r="C60" s="22" t="n">
        <f aca="false">$G$23+B60</f>
        <v>447.618</v>
      </c>
      <c r="D60" s="31" t="n">
        <f aca="false">IF(C60=0,0,Inputs!$B$95/C60)</f>
        <v>7.03725051271397</v>
      </c>
      <c r="E60" s="31" t="n">
        <f aca="false">IF(C60=0,0,Cap_Stack!$B$18/C60)</f>
        <v>6.91660076225711</v>
      </c>
    </row>
    <row r="61" customFormat="false" ht="15" hidden="false" customHeight="false" outlineLevel="0" collapsed="false">
      <c r="A61" s="4" t="s">
        <v>379</v>
      </c>
      <c r="B61" s="22" t="n">
        <f aca="false">G25-G23</f>
        <v>63.902</v>
      </c>
      <c r="C61" s="22" t="n">
        <f aca="false">$G$23+B61</f>
        <v>467.752</v>
      </c>
      <c r="D61" s="31" t="n">
        <f aca="false">IF(C61=0,0,Inputs!$B$95/C61)</f>
        <v>6.73433785424756</v>
      </c>
      <c r="E61" s="31" t="n">
        <f aca="false">IF(C61=0,0,Cap_Stack!$B$18/C61)</f>
        <v>6.61888137303529</v>
      </c>
    </row>
    <row r="63" customFormat="false" ht="15" hidden="false" customHeight="false" outlineLevel="0" collapsed="false">
      <c r="A63" s="8" t="s">
        <v>380</v>
      </c>
      <c r="B63" s="9"/>
      <c r="C63" s="9"/>
      <c r="D63" s="9"/>
      <c r="E63" s="9"/>
      <c r="F63" s="9"/>
      <c r="G63" s="9"/>
      <c r="H63" s="9"/>
      <c r="I63" s="9"/>
    </row>
    <row r="64" customFormat="false" ht="15" hidden="false" customHeight="false" outlineLevel="0" collapsed="false">
      <c r="A64" s="4" t="s">
        <v>381</v>
      </c>
    </row>
    <row r="65" customFormat="false" ht="15" hidden="false" customHeight="false" outlineLevel="0" collapsed="false">
      <c r="A65" s="4" t="s">
        <v>382</v>
      </c>
    </row>
    <row r="66" customFormat="false" ht="15" hidden="false" customHeight="false" outlineLevel="0" collapsed="false">
      <c r="A66" s="4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9" min="7" style="0" width="12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</row>
    <row r="4" customFormat="false" ht="15" hidden="false" customHeight="false" outlineLevel="0" collapsed="false">
      <c r="A4" s="23" t="s">
        <v>386</v>
      </c>
      <c r="B4" s="6" t="str">
        <f aca="false">Inputs!C6</f>
        <v>B: 1L + unsecured notes</v>
      </c>
    </row>
    <row r="5" customFormat="false" ht="15" hidden="false" customHeight="false" outlineLevel="0" collapsed="false">
      <c r="A5" s="4" t="s">
        <v>387</v>
      </c>
      <c r="B5" s="30" t="n">
        <f aca="false">Historicals!G43</f>
        <v>403.85</v>
      </c>
    </row>
    <row r="6" customFormat="false" ht="15" hidden="false" customHeight="false" outlineLevel="0" collapsed="false">
      <c r="A6" s="4" t="s">
        <v>388</v>
      </c>
      <c r="B6" s="30" t="n">
        <f aca="false">Historicals!G33</f>
        <v>467.752</v>
      </c>
    </row>
    <row r="7" customFormat="false" ht="15" hidden="false" customHeight="false" outlineLevel="0" collapsed="false">
      <c r="A7" s="4" t="s">
        <v>389</v>
      </c>
      <c r="B7" s="46" t="n">
        <f aca="false">MAX(Inputs!C48,Inputs!B40)</f>
        <v>0.035</v>
      </c>
    </row>
    <row r="9" customFormat="false" ht="35.05" hidden="false" customHeight="false" outlineLevel="0" collapsed="false">
      <c r="A9" s="20" t="s">
        <v>72</v>
      </c>
      <c r="B9" s="21" t="s">
        <v>390</v>
      </c>
      <c r="C9" s="21" t="s">
        <v>391</v>
      </c>
      <c r="D9" s="21" t="s">
        <v>392</v>
      </c>
      <c r="E9" s="21" t="s">
        <v>393</v>
      </c>
      <c r="F9" s="21" t="s">
        <v>394</v>
      </c>
      <c r="G9" s="21" t="s">
        <v>395</v>
      </c>
      <c r="H9" s="21" t="s">
        <v>396</v>
      </c>
      <c r="I9" s="21" t="s">
        <v>397</v>
      </c>
      <c r="J9" s="21" t="s">
        <v>398</v>
      </c>
    </row>
    <row r="10" customFormat="false" ht="15" hidden="false" customHeight="false" outlineLevel="0" collapsed="false">
      <c r="A10" s="4" t="s">
        <v>399</v>
      </c>
      <c r="B10" s="30" t="n">
        <f aca="false">Inputs!B79</f>
        <v>0</v>
      </c>
      <c r="C10" s="6" t="str">
        <f aca="false">"S+"&amp;TEXT(Inputs!B38*10000,"0")</f>
        <v>S+300</v>
      </c>
      <c r="D10" s="46" t="n">
        <f aca="false">$B$7+Inputs!B38</f>
        <v>0.065</v>
      </c>
      <c r="E10" s="5" t="s">
        <v>400</v>
      </c>
      <c r="F10" s="5" t="s">
        <v>401</v>
      </c>
      <c r="G10" s="22" t="n">
        <f aca="false">B10</f>
        <v>0</v>
      </c>
      <c r="H10" s="31" t="n">
        <f aca="false">IF($B$5=0,0,G10/$B$5)</f>
        <v>0</v>
      </c>
      <c r="I10" s="31" t="n">
        <f aca="false">IF($B$6=0,0,G10/$B$6)</f>
        <v>0</v>
      </c>
      <c r="J10" s="22" t="n">
        <f aca="false">B10*D10+(Inputs!B14-B10)*Inputs!B39</f>
        <v>1.875</v>
      </c>
    </row>
    <row r="11" customFormat="false" ht="15" hidden="false" customHeight="false" outlineLevel="0" collapsed="false">
      <c r="A11" s="4" t="s">
        <v>77</v>
      </c>
      <c r="B11" s="30" t="n">
        <f aca="false">Inputs!F29</f>
        <v>2400</v>
      </c>
      <c r="C11" s="6" t="str">
        <f aca="false">"S+"&amp;TEXT(Inputs!B35*10000,"0")&amp;" / OID 99"</f>
        <v>S+325 / OID 99</v>
      </c>
      <c r="D11" s="46" t="n">
        <f aca="false">$B$7+Inputs!B35</f>
        <v>0.0675</v>
      </c>
      <c r="E11" s="5" t="s">
        <v>402</v>
      </c>
      <c r="F11" s="5" t="s">
        <v>401</v>
      </c>
      <c r="G11" s="22" t="n">
        <f aca="false">B12</f>
        <v>2400</v>
      </c>
      <c r="H11" s="31" t="n">
        <f aca="false">IF($B$5=0,0,G11/$B$5)</f>
        <v>5.94280054475672</v>
      </c>
      <c r="I11" s="31" t="n">
        <f aca="false">IF($B$6=0,0,G11/$B$6)</f>
        <v>5.13092407942671</v>
      </c>
      <c r="J11" s="22" t="n">
        <f aca="false">B11*D11</f>
        <v>162</v>
      </c>
    </row>
    <row r="12" customFormat="false" ht="15" hidden="false" customHeight="false" outlineLevel="0" collapsed="false">
      <c r="A12" s="23" t="s">
        <v>403</v>
      </c>
      <c r="B12" s="24" t="n">
        <f aca="false">B10+B11</f>
        <v>2400</v>
      </c>
      <c r="G12" s="22" t="n">
        <f aca="false">B12</f>
        <v>2400</v>
      </c>
      <c r="H12" s="31" t="n">
        <f aca="false">IF($B$5=0,0,G12/$B$5)</f>
        <v>5.94280054475672</v>
      </c>
      <c r="I12" s="31" t="n">
        <f aca="false">IF($B$6=0,0,G12/$B$6)</f>
        <v>5.13092407942671</v>
      </c>
      <c r="J12" s="32" t="n">
        <f aca="false">J10+J11</f>
        <v>163.875</v>
      </c>
    </row>
    <row r="13" customFormat="false" ht="15" hidden="false" customHeight="false" outlineLevel="0" collapsed="false">
      <c r="A13" s="4" t="s">
        <v>78</v>
      </c>
      <c r="B13" s="30" t="n">
        <f aca="false">Inputs!F30</f>
        <v>0</v>
      </c>
      <c r="C13" s="6" t="str">
        <f aca="false">"S+"&amp;TEXT(Inputs!B36*10000,"0")</f>
        <v>S+600</v>
      </c>
      <c r="D13" s="46" t="n">
        <f aca="false">$B$7+Inputs!B36</f>
        <v>0.095</v>
      </c>
      <c r="E13" s="5" t="s">
        <v>404</v>
      </c>
      <c r="F13" s="5" t="s">
        <v>405</v>
      </c>
      <c r="G13" s="22" t="n">
        <f aca="false">B14</f>
        <v>2400</v>
      </c>
      <c r="H13" s="31" t="n">
        <f aca="false">IF($B$5=0,0,G13/$B$5)</f>
        <v>5.94280054475672</v>
      </c>
      <c r="I13" s="31" t="n">
        <f aca="false">IF($B$6=0,0,G13/$B$6)</f>
        <v>5.13092407942671</v>
      </c>
      <c r="J13" s="22" t="n">
        <f aca="false">B13*D13</f>
        <v>0</v>
      </c>
    </row>
    <row r="14" customFormat="false" ht="15" hidden="false" customHeight="false" outlineLevel="0" collapsed="false">
      <c r="A14" s="23" t="s">
        <v>406</v>
      </c>
      <c r="B14" s="24" t="n">
        <f aca="false">B12+B13</f>
        <v>2400</v>
      </c>
      <c r="G14" s="22" t="n">
        <f aca="false">B14</f>
        <v>2400</v>
      </c>
      <c r="H14" s="31" t="n">
        <f aca="false">IF($B$5=0,0,G14/$B$5)</f>
        <v>5.94280054475672</v>
      </c>
      <c r="I14" s="31" t="n">
        <f aca="false">IF($B$6=0,0,G14/$B$6)</f>
        <v>5.13092407942671</v>
      </c>
      <c r="J14" s="32" t="n">
        <f aca="false">J12+J13</f>
        <v>163.875</v>
      </c>
    </row>
    <row r="15" customFormat="false" ht="15" hidden="false" customHeight="false" outlineLevel="0" collapsed="false">
      <c r="A15" s="4" t="s">
        <v>79</v>
      </c>
      <c r="B15" s="30" t="n">
        <f aca="false">Inputs!F31</f>
        <v>750</v>
      </c>
      <c r="C15" s="6" t="str">
        <f aca="false">TEXT(Inputs!B37,"0.00%")&amp;" fixed"</f>
        <v>7.50% fixed</v>
      </c>
      <c r="D15" s="46" t="n">
        <f aca="false">Inputs!B37</f>
        <v>0.075</v>
      </c>
      <c r="E15" s="5" t="s">
        <v>404</v>
      </c>
      <c r="F15" s="5" t="s">
        <v>407</v>
      </c>
      <c r="G15" s="22" t="n">
        <f aca="false">B16</f>
        <v>3150</v>
      </c>
      <c r="H15" s="31" t="n">
        <f aca="false">IF($B$5=0,0,G15/$B$5)</f>
        <v>7.7999257149932</v>
      </c>
      <c r="I15" s="31" t="n">
        <f aca="false">IF($B$6=0,0,G15/$B$6)</f>
        <v>6.73433785424756</v>
      </c>
      <c r="J15" s="22" t="n">
        <f aca="false">B15*D15</f>
        <v>56.25</v>
      </c>
    </row>
    <row r="16" customFormat="false" ht="15" hidden="false" customHeight="false" outlineLevel="0" collapsed="false">
      <c r="A16" s="23" t="s">
        <v>408</v>
      </c>
      <c r="B16" s="24" t="n">
        <f aca="false">B14+B15</f>
        <v>3150</v>
      </c>
      <c r="G16" s="22" t="n">
        <f aca="false">B16</f>
        <v>3150</v>
      </c>
      <c r="H16" s="31" t="n">
        <f aca="false">IF($B$5=0,0,G16/$B$5)</f>
        <v>7.7999257149932</v>
      </c>
      <c r="I16" s="31" t="n">
        <f aca="false">IF($B$6=0,0,G16/$B$6)</f>
        <v>6.73433785424756</v>
      </c>
      <c r="J16" s="32" t="n">
        <f aca="false">J14+J15</f>
        <v>220.125</v>
      </c>
    </row>
    <row r="17" customFormat="false" ht="15" hidden="false" customHeight="false" outlineLevel="0" collapsed="false">
      <c r="A17" s="4" t="s">
        <v>409</v>
      </c>
      <c r="B17" s="30" t="n">
        <f aca="false">Inputs!F81</f>
        <v>54.005000000001</v>
      </c>
    </row>
    <row r="18" customFormat="false" ht="15" hidden="false" customHeight="false" outlineLevel="0" collapsed="false">
      <c r="A18" s="23" t="s">
        <v>237</v>
      </c>
      <c r="B18" s="32" t="n">
        <f aca="false">B16-B17</f>
        <v>3095.995</v>
      </c>
      <c r="H18" s="31" t="n">
        <f aca="false">IF($B$5=0,0,B18/$B$5)</f>
        <v>7.6662003219017</v>
      </c>
      <c r="I18" s="31" t="n">
        <f aca="false">IF($B$6=0,0,B18/$B$6)</f>
        <v>6.61888137303529</v>
      </c>
    </row>
    <row r="19" customFormat="false" ht="15" hidden="false" customHeight="false" outlineLevel="0" collapsed="false">
      <c r="A19" s="4" t="s">
        <v>134</v>
      </c>
      <c r="B19" s="30" t="n">
        <f aca="false">Inputs!B80</f>
        <v>2873.3</v>
      </c>
    </row>
    <row r="20" customFormat="false" ht="15" hidden="false" customHeight="false" outlineLevel="0" collapsed="false">
      <c r="A20" s="23" t="s">
        <v>410</v>
      </c>
      <c r="B20" s="32" t="n">
        <f aca="false">B16+B19</f>
        <v>6023.3</v>
      </c>
    </row>
    <row r="21" customFormat="false" ht="15" hidden="false" customHeight="false" outlineLevel="0" collapsed="false">
      <c r="A21" s="4" t="s">
        <v>411</v>
      </c>
      <c r="B21" s="29" t="n">
        <f aca="false">IF(B20=0,0,B19/B20)</f>
        <v>0.477030863480152</v>
      </c>
    </row>
    <row r="22" customFormat="false" ht="15" hidden="false" customHeight="false" outlineLevel="0" collapsed="false">
      <c r="A22" s="4" t="s">
        <v>412</v>
      </c>
      <c r="B22" s="29" t="n">
        <f aca="false">IF(B20=0,0,1-B12/B20)</f>
        <v>0.601547324556306</v>
      </c>
    </row>
    <row r="23" customFormat="false" ht="15" hidden="false" customHeight="false" outlineLevel="0" collapsed="false">
      <c r="A23" s="4" t="s">
        <v>413</v>
      </c>
      <c r="B23" s="31" t="n">
        <f aca="false">IF(J16=0,0,B5/J16)</f>
        <v>1.83463940942646</v>
      </c>
    </row>
    <row r="24" customFormat="false" ht="15" hidden="false" customHeight="false" outlineLevel="0" collapsed="false">
      <c r="A24" s="4" t="s">
        <v>414</v>
      </c>
      <c r="B24" s="35" t="n">
        <f aca="false">IF(B16=0,0,J16/B16)</f>
        <v>0.0698809523809524</v>
      </c>
    </row>
    <row r="25" customFormat="false" ht="15" hidden="false" customHeight="false" outlineLevel="0" collapsed="false">
      <c r="A25" s="4" t="s">
        <v>415</v>
      </c>
      <c r="B25" s="47" t="n">
        <f aca="false">IF(Historicals!G88=0,0,B16/Historicals!G88)</f>
        <v>6.17730149584827</v>
      </c>
    </row>
    <row r="26" customFormat="false" ht="23.85" hidden="false" customHeight="false" outlineLevel="0" collapsed="false">
      <c r="A26" s="20" t="s">
        <v>416</v>
      </c>
      <c r="B26" s="21" t="s">
        <v>417</v>
      </c>
      <c r="C26" s="21" t="s">
        <v>418</v>
      </c>
      <c r="D26" s="21" t="s">
        <v>419</v>
      </c>
    </row>
    <row r="27" customFormat="false" ht="15" hidden="false" customHeight="false" outlineLevel="0" collapsed="false">
      <c r="A27" s="4" t="s">
        <v>408</v>
      </c>
      <c r="B27" s="30" t="n">
        <f aca="false">Historicals!F69</f>
        <v>1172.915</v>
      </c>
      <c r="C27" s="22" t="n">
        <f aca="false">B16</f>
        <v>3150</v>
      </c>
      <c r="D27" s="22" t="n">
        <f aca="false">C27-B27</f>
        <v>1977.085</v>
      </c>
    </row>
    <row r="28" customFormat="false" ht="15" hidden="false" customHeight="false" outlineLevel="0" collapsed="false">
      <c r="A28" s="4" t="s">
        <v>237</v>
      </c>
      <c r="B28" s="30" t="n">
        <f aca="false">Historicals!F70</f>
        <v>979.148</v>
      </c>
      <c r="C28" s="22" t="n">
        <f aca="false">B18</f>
        <v>3095.995</v>
      </c>
      <c r="D28" s="22" t="n">
        <f aca="false">C28-B28</f>
        <v>2116.847</v>
      </c>
    </row>
    <row r="29" customFormat="false" ht="15" hidden="false" customHeight="false" outlineLevel="0" collapsed="false">
      <c r="A29" s="4" t="s">
        <v>420</v>
      </c>
      <c r="B29" s="47" t="n">
        <f aca="false">Historicals!G74</f>
        <v>2.90433329206389</v>
      </c>
      <c r="C29" s="31" t="n">
        <f aca="false">H16</f>
        <v>7.7999257149932</v>
      </c>
      <c r="D29" s="31" t="n">
        <f aca="false">C29-B29</f>
        <v>4.89559242292931</v>
      </c>
    </row>
    <row r="30" customFormat="false" ht="15" hidden="false" customHeight="false" outlineLevel="0" collapsed="false">
      <c r="A30" s="4" t="s">
        <v>421</v>
      </c>
      <c r="B30" s="47" t="n">
        <f aca="false">Historicals!G75</f>
        <v>2.42453386158227</v>
      </c>
      <c r="C30" s="31" t="n">
        <f aca="false">H18</f>
        <v>7.6662003219017</v>
      </c>
      <c r="D30" s="31" t="n">
        <f aca="false">C30-B30</f>
        <v>5.24166646031943</v>
      </c>
    </row>
    <row r="31" customFormat="false" ht="15" hidden="false" customHeight="false" outlineLevel="0" collapsed="false">
      <c r="A31" s="4" t="s">
        <v>422</v>
      </c>
      <c r="B31" s="30" t="n">
        <f aca="false">Historicals!G12</f>
        <v>54.204</v>
      </c>
      <c r="C31" s="22" t="n">
        <f aca="false">J16</f>
        <v>220.125</v>
      </c>
      <c r="D31" s="22" t="n">
        <f aca="false">C31-B31</f>
        <v>165.921</v>
      </c>
    </row>
    <row r="32" customFormat="false" ht="15" hidden="false" customHeight="false" outlineLevel="0" collapsed="false">
      <c r="A32" s="4" t="s">
        <v>243</v>
      </c>
      <c r="B32" s="47" t="n">
        <f aca="false">Historicals!G76</f>
        <v>7.45055715445354</v>
      </c>
      <c r="C32" s="31" t="n">
        <f aca="false">B23</f>
        <v>1.83463940942646</v>
      </c>
      <c r="D32" s="31" t="n">
        <f aca="false">C32-B32</f>
        <v>-5.61591774502708</v>
      </c>
    </row>
    <row r="34" customFormat="false" ht="15" hidden="false" customHeight="false" outlineLevel="0" collapsed="false">
      <c r="A34" s="2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1" t="s">
        <v>424</v>
      </c>
    </row>
    <row r="2" customFormat="false" ht="15" hidden="false" customHeight="false" outlineLevel="0" collapsed="false">
      <c r="A2" s="2" t="s">
        <v>425</v>
      </c>
    </row>
    <row r="3" customFormat="false" ht="15" hidden="false" customHeight="false" outlineLevel="0" collapsed="false">
      <c r="A3" s="23" t="s">
        <v>426</v>
      </c>
      <c r="B3" s="6" t="str">
        <f aca="false">Inputs!C5</f>
        <v>Lender Base</v>
      </c>
      <c r="D3" s="23" t="s">
        <v>386</v>
      </c>
      <c r="E3" s="6" t="str">
        <f aca="false">Inputs!C6</f>
        <v>B: 1L + unsecured notes</v>
      </c>
      <c r="H3" s="23" t="s">
        <v>427</v>
      </c>
      <c r="I3" s="6" t="str">
        <f aca="false">Inputs!C7</f>
        <v>Base SOFR</v>
      </c>
    </row>
    <row r="4" customFormat="false" ht="15" hidden="false" customHeight="false" outlineLevel="0" collapsed="false">
      <c r="A4" s="20"/>
      <c r="B4" s="21" t="s">
        <v>428</v>
      </c>
      <c r="C4" s="21" t="s">
        <v>92</v>
      </c>
      <c r="D4" s="21" t="s">
        <v>93</v>
      </c>
      <c r="E4" s="21" t="s">
        <v>94</v>
      </c>
      <c r="F4" s="21" t="s">
        <v>95</v>
      </c>
      <c r="G4" s="21" t="s">
        <v>96</v>
      </c>
      <c r="H4" s="21" t="s">
        <v>97</v>
      </c>
      <c r="I4" s="21" t="s">
        <v>98</v>
      </c>
    </row>
    <row r="5" customFormat="false" ht="15" hidden="false" customHeight="false" outlineLevel="0" collapsed="false">
      <c r="A5" s="4" t="s">
        <v>429</v>
      </c>
      <c r="B5" s="48" t="n">
        <v>0</v>
      </c>
      <c r="C5" s="43" t="n">
        <f aca="false">B5+1</f>
        <v>1</v>
      </c>
      <c r="D5" s="43" t="n">
        <f aca="false">C5+1</f>
        <v>2</v>
      </c>
      <c r="E5" s="43" t="n">
        <f aca="false">D5+1</f>
        <v>3</v>
      </c>
      <c r="F5" s="43" t="n">
        <f aca="false">E5+1</f>
        <v>4</v>
      </c>
      <c r="G5" s="43" t="n">
        <f aca="false">F5+1</f>
        <v>5</v>
      </c>
      <c r="H5" s="43" t="n">
        <f aca="false">G5+1</f>
        <v>6</v>
      </c>
      <c r="I5" s="43" t="n">
        <f aca="false">H5+1</f>
        <v>7</v>
      </c>
    </row>
    <row r="6" customFormat="false" ht="15" hidden="false" customHeight="false" outlineLevel="0" collapsed="false">
      <c r="A6" s="8" t="s">
        <v>430</v>
      </c>
      <c r="B6" s="9"/>
      <c r="C6" s="9"/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A7" s="4" t="s">
        <v>162</v>
      </c>
      <c r="B7" s="30" t="n">
        <f aca="false">Historicals!G5</f>
        <v>5693.516</v>
      </c>
      <c r="C7" s="22" t="n">
        <f aca="false">B7*(1+C8)</f>
        <v>5978.1918</v>
      </c>
      <c r="D7" s="22" t="n">
        <f aca="false">C7*(1+D8)</f>
        <v>6277.10139</v>
      </c>
      <c r="E7" s="22" t="n">
        <f aca="false">D7*(1+E8)</f>
        <v>6559.57095255</v>
      </c>
      <c r="F7" s="22" t="n">
        <f aca="false">E7*(1+F8)</f>
        <v>6854.75164541475</v>
      </c>
      <c r="G7" s="22" t="n">
        <f aca="false">F7*(1+G8)</f>
        <v>7128.94171123134</v>
      </c>
      <c r="H7" s="22" t="n">
        <f aca="false">G7*(1+H8)</f>
        <v>7414.09937968059</v>
      </c>
      <c r="I7" s="22" t="n">
        <f aca="false">H7*(1+I8)</f>
        <v>7710.66335486782</v>
      </c>
    </row>
    <row r="8" customFormat="false" ht="15" hidden="false" customHeight="false" outlineLevel="0" collapsed="false">
      <c r="A8" s="4" t="s">
        <v>431</v>
      </c>
      <c r="C8" s="41" t="n">
        <f aca="false">Inputs!C55</f>
        <v>0.05</v>
      </c>
      <c r="D8" s="41" t="n">
        <f aca="false">Inputs!D55</f>
        <v>0.05</v>
      </c>
      <c r="E8" s="41" t="n">
        <f aca="false">Inputs!E55</f>
        <v>0.045</v>
      </c>
      <c r="F8" s="41" t="n">
        <f aca="false">Inputs!F55</f>
        <v>0.045</v>
      </c>
      <c r="G8" s="41" t="n">
        <f aca="false">Inputs!G55</f>
        <v>0.04</v>
      </c>
      <c r="H8" s="41" t="n">
        <f aca="false">Inputs!H55</f>
        <v>0.04</v>
      </c>
      <c r="I8" s="41" t="n">
        <f aca="false">Inputs!I55</f>
        <v>0.04</v>
      </c>
    </row>
    <row r="9" customFormat="false" ht="15" hidden="false" customHeight="false" outlineLevel="0" collapsed="false">
      <c r="A9" s="4" t="s">
        <v>209</v>
      </c>
      <c r="B9" s="46" t="n">
        <f aca="false">Historicals!G44</f>
        <v>0.070931564959157</v>
      </c>
      <c r="C9" s="35" t="n">
        <f aca="false">$B$9+Inputs!C60</f>
        <v>0.070931564959157</v>
      </c>
      <c r="D9" s="35" t="n">
        <f aca="false">$B$9+Inputs!D60</f>
        <v>0.070931564959157</v>
      </c>
      <c r="E9" s="35" t="n">
        <f aca="false">$B$9+Inputs!E60</f>
        <v>0.070931564959157</v>
      </c>
      <c r="F9" s="35" t="n">
        <f aca="false">$B$9+Inputs!F60</f>
        <v>0.070931564959157</v>
      </c>
      <c r="G9" s="35" t="n">
        <f aca="false">$B$9+Inputs!G60</f>
        <v>0.070931564959157</v>
      </c>
      <c r="H9" s="35" t="n">
        <f aca="false">$B$9+Inputs!H60</f>
        <v>0.070931564959157</v>
      </c>
      <c r="I9" s="35" t="n">
        <f aca="false">$B$9+Inputs!I60</f>
        <v>0.070931564959157</v>
      </c>
    </row>
    <row r="10" customFormat="false" ht="15" hidden="false" customHeight="false" outlineLevel="0" collapsed="false">
      <c r="A10" s="23" t="s">
        <v>208</v>
      </c>
      <c r="B10" s="30" t="n">
        <f aca="false">Historicals!G43</f>
        <v>403.85</v>
      </c>
      <c r="C10" s="32" t="n">
        <f aca="false">C7*C9</f>
        <v>424.0425</v>
      </c>
      <c r="D10" s="32" t="n">
        <f aca="false">D7*D9</f>
        <v>445.244625</v>
      </c>
      <c r="E10" s="32" t="n">
        <f aca="false">E7*E9</f>
        <v>465.280633125</v>
      </c>
      <c r="F10" s="32" t="n">
        <f aca="false">F7*F9</f>
        <v>486.218261615625</v>
      </c>
      <c r="G10" s="32" t="n">
        <f aca="false">G7*G9</f>
        <v>505.66699208025</v>
      </c>
      <c r="H10" s="32" t="n">
        <f aca="false">H7*H9</f>
        <v>525.89367176346</v>
      </c>
      <c r="I10" s="32" t="n">
        <f aca="false">I7*I9</f>
        <v>546.929418633998</v>
      </c>
    </row>
    <row r="11" customFormat="false" ht="15" hidden="false" customHeight="false" outlineLevel="0" collapsed="false">
      <c r="A11" s="4" t="s">
        <v>432</v>
      </c>
      <c r="C11" s="22" t="n">
        <f aca="false">C7*Inputs!$B$63</f>
        <v>44.8364385</v>
      </c>
      <c r="D11" s="22" t="n">
        <f aca="false">D7*Inputs!$B$63</f>
        <v>47.078260425</v>
      </c>
      <c r="E11" s="22" t="n">
        <f aca="false">E7*Inputs!$B$63</f>
        <v>49.196782144125</v>
      </c>
      <c r="F11" s="22" t="n">
        <f aca="false">F7*Inputs!$B$63</f>
        <v>51.4106373406106</v>
      </c>
      <c r="G11" s="22" t="n">
        <f aca="false">G7*Inputs!$B$63</f>
        <v>53.4670628342351</v>
      </c>
      <c r="H11" s="22" t="n">
        <f aca="false">H7*Inputs!$B$63</f>
        <v>55.6057453476045</v>
      </c>
      <c r="I11" s="22" t="n">
        <f aca="false">I7*Inputs!$B$63</f>
        <v>57.8299751615086</v>
      </c>
    </row>
    <row r="12" customFormat="false" ht="15" hidden="false" customHeight="false" outlineLevel="0" collapsed="false">
      <c r="A12" s="4" t="s">
        <v>433</v>
      </c>
      <c r="C12" s="22" t="n">
        <f aca="false">C7*Inputs!$B$64</f>
        <v>74.7273975</v>
      </c>
      <c r="D12" s="22" t="n">
        <f aca="false">D7*Inputs!$B$64</f>
        <v>78.463767375</v>
      </c>
      <c r="E12" s="22" t="n">
        <f aca="false">E7*Inputs!$B$64</f>
        <v>81.994636906875</v>
      </c>
      <c r="F12" s="22" t="n">
        <f aca="false">F7*Inputs!$B$64</f>
        <v>85.6843955676844</v>
      </c>
      <c r="G12" s="22" t="n">
        <f aca="false">G7*Inputs!$B$64</f>
        <v>89.1117713903918</v>
      </c>
      <c r="H12" s="22" t="n">
        <f aca="false">H7*Inputs!$B$64</f>
        <v>92.6762422460074</v>
      </c>
      <c r="I12" s="22" t="n">
        <f aca="false">I7*Inputs!$B$64</f>
        <v>96.3832919358477</v>
      </c>
    </row>
    <row r="13" customFormat="false" ht="15" hidden="false" customHeight="false" outlineLevel="0" collapsed="false">
      <c r="A13" s="4" t="s">
        <v>434</v>
      </c>
      <c r="C13" s="22" t="n">
        <f aca="false">(C7-B7)*Inputs!$B$65</f>
        <v>15.3724932</v>
      </c>
      <c r="D13" s="22" t="n">
        <f aca="false">(D7-C7)*Inputs!$B$65</f>
        <v>16.14111786</v>
      </c>
      <c r="E13" s="22" t="n">
        <f aca="false">(E7-D7)*Inputs!$B$65</f>
        <v>15.2533563777</v>
      </c>
      <c r="F13" s="22" t="n">
        <f aca="false">(F7-E7)*Inputs!$B$65</f>
        <v>15.9397574146965</v>
      </c>
      <c r="G13" s="22" t="n">
        <f aca="false">(G7-F7)*Inputs!$B$65</f>
        <v>14.8062635540959</v>
      </c>
      <c r="H13" s="22" t="n">
        <f aca="false">(H7-G7)*Inputs!$B$65</f>
        <v>15.3985140962597</v>
      </c>
      <c r="I13" s="22" t="n">
        <f aca="false">(I7-H7)*Inputs!$B$65</f>
        <v>16.0144546601101</v>
      </c>
    </row>
    <row r="14" customFormat="false" ht="15" hidden="false" customHeight="false" outlineLevel="0" collapsed="false">
      <c r="A14" s="4" t="s">
        <v>261</v>
      </c>
      <c r="B14" s="30" t="n">
        <f aca="false">Historicals!G88</f>
        <v>509.9314</v>
      </c>
      <c r="C14" s="22" t="n">
        <f aca="false">C10*(1+Historicals!$G$89)</f>
        <v>535.42797</v>
      </c>
      <c r="D14" s="22" t="n">
        <f aca="false">D10*(1+Historicals!$G$89)</f>
        <v>562.1993685</v>
      </c>
      <c r="E14" s="22" t="n">
        <f aca="false">E10*(1+Historicals!$G$89)</f>
        <v>587.4983400825</v>
      </c>
      <c r="F14" s="22" t="n">
        <f aca="false">F10*(1+Historicals!$G$89)</f>
        <v>613.935765386212</v>
      </c>
      <c r="G14" s="22" t="n">
        <f aca="false">G10*(1+Historicals!$G$89)</f>
        <v>638.493196001661</v>
      </c>
      <c r="H14" s="22" t="n">
        <f aca="false">H10*(1+Historicals!$G$89)</f>
        <v>664.032923841727</v>
      </c>
      <c r="I14" s="22" t="n">
        <f aca="false">I10*(1+Historicals!$G$89)</f>
        <v>690.594240795396</v>
      </c>
    </row>
    <row r="15" customFormat="false" ht="15" hidden="false" customHeight="false" outlineLevel="0" collapsed="false">
      <c r="A15" s="8" t="s">
        <v>435</v>
      </c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4" t="s">
        <v>436</v>
      </c>
      <c r="C16" s="46" t="n">
        <f aca="false">Inputs!C48</f>
        <v>0.035</v>
      </c>
      <c r="D16" s="46" t="n">
        <f aca="false">Inputs!D48</f>
        <v>0.0325</v>
      </c>
      <c r="E16" s="46" t="n">
        <f aca="false">Inputs!E48</f>
        <v>0.0325</v>
      </c>
      <c r="F16" s="46" t="n">
        <f aca="false">Inputs!F48</f>
        <v>0.0325</v>
      </c>
      <c r="G16" s="46" t="n">
        <f aca="false">Inputs!G48</f>
        <v>0.0325</v>
      </c>
      <c r="H16" s="46" t="n">
        <f aca="false">Inputs!H48</f>
        <v>0.0325</v>
      </c>
      <c r="I16" s="46" t="n">
        <f aca="false">Inputs!I48</f>
        <v>0.0325</v>
      </c>
    </row>
    <row r="17" customFormat="false" ht="15" hidden="false" customHeight="false" outlineLevel="0" collapsed="false">
      <c r="A17" s="4" t="s">
        <v>437</v>
      </c>
      <c r="C17" s="35" t="n">
        <f aca="false">MAX(C16,Inputs!$B$40)</f>
        <v>0.035</v>
      </c>
      <c r="D17" s="35" t="n">
        <f aca="false">MAX(D16,Inputs!$B$40)</f>
        <v>0.0325</v>
      </c>
      <c r="E17" s="35" t="n">
        <f aca="false">MAX(E16,Inputs!$B$40)</f>
        <v>0.0325</v>
      </c>
      <c r="F17" s="35" t="n">
        <f aca="false">MAX(F16,Inputs!$B$40)</f>
        <v>0.0325</v>
      </c>
      <c r="G17" s="35" t="n">
        <f aca="false">MAX(G16,Inputs!$B$40)</f>
        <v>0.0325</v>
      </c>
      <c r="H17" s="35" t="n">
        <f aca="false">MAX(H16,Inputs!$B$40)</f>
        <v>0.0325</v>
      </c>
      <c r="I17" s="35" t="n">
        <f aca="false">MAX(I16,Inputs!$B$40)</f>
        <v>0.0325</v>
      </c>
    </row>
    <row r="19" customFormat="false" ht="15" hidden="false" customHeight="false" outlineLevel="0" collapsed="false">
      <c r="A19" s="8" t="s">
        <v>438</v>
      </c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4" t="s">
        <v>439</v>
      </c>
      <c r="C20" s="22" t="n">
        <f aca="false">C36*(C17+Inputs!$B$38)+(Inputs!$B$14-C36)*Inputs!$B$39</f>
        <v>1.875</v>
      </c>
      <c r="D20" s="22" t="n">
        <f aca="false">D36*(D17+Inputs!$B$38)+(Inputs!$B$14-D36)*Inputs!$B$39</f>
        <v>1.875</v>
      </c>
      <c r="E20" s="22" t="n">
        <f aca="false">E36*(E17+Inputs!$B$38)+(Inputs!$B$14-E36)*Inputs!$B$39</f>
        <v>1.875</v>
      </c>
      <c r="F20" s="22" t="n">
        <f aca="false">F36*(F17+Inputs!$B$38)+(Inputs!$B$14-F36)*Inputs!$B$39</f>
        <v>1.875</v>
      </c>
      <c r="G20" s="22" t="n">
        <f aca="false">G36*(G17+Inputs!$B$38)+(Inputs!$B$14-G36)*Inputs!$B$39</f>
        <v>1.875</v>
      </c>
      <c r="H20" s="22" t="n">
        <f aca="false">H36*(H17+Inputs!$B$38)+(Inputs!$B$14-H36)*Inputs!$B$39</f>
        <v>1.875</v>
      </c>
      <c r="I20" s="22" t="n">
        <f aca="false">I36*(I17+Inputs!$B$38)+(Inputs!$B$14-I36)*Inputs!$B$39</f>
        <v>1.875</v>
      </c>
    </row>
    <row r="21" customFormat="false" ht="15" hidden="false" customHeight="false" outlineLevel="0" collapsed="false">
      <c r="A21" s="4" t="s">
        <v>440</v>
      </c>
      <c r="C21" s="22" t="n">
        <f aca="false">C40*(C17+Inputs!$B$35)</f>
        <v>162</v>
      </c>
      <c r="D21" s="22" t="n">
        <f aca="false">D40*(D17+Inputs!$B$35)</f>
        <v>152.354053144313</v>
      </c>
      <c r="E21" s="22" t="n">
        <f aca="false">E40*(E17+Inputs!$B$35)</f>
        <v>147.893612548031</v>
      </c>
      <c r="F21" s="22" t="n">
        <f aca="false">F40*(F17+Inputs!$B$35)</f>
        <v>142.762303557269</v>
      </c>
      <c r="G21" s="22" t="n">
        <f aca="false">G40*(G17+Inputs!$B$35)</f>
        <v>136.967115898871</v>
      </c>
      <c r="H21" s="22" t="n">
        <f aca="false">H40*(H17+Inputs!$B$35)</f>
        <v>130.464263405506</v>
      </c>
      <c r="I21" s="22" t="n">
        <f aca="false">I40*(I17+Inputs!$B$35)</f>
        <v>123.267534355704</v>
      </c>
    </row>
    <row r="22" customFormat="false" ht="15" hidden="false" customHeight="false" outlineLevel="0" collapsed="false">
      <c r="A22" s="4" t="s">
        <v>441</v>
      </c>
      <c r="C22" s="22" t="n">
        <f aca="false">C45*(C17+Inputs!$B$36)</f>
        <v>0</v>
      </c>
      <c r="D22" s="22" t="n">
        <f aca="false">D45*(D17+Inputs!$B$36)</f>
        <v>0</v>
      </c>
      <c r="E22" s="22" t="n">
        <f aca="false">E45*(E17+Inputs!$B$36)</f>
        <v>0</v>
      </c>
      <c r="F22" s="22" t="n">
        <f aca="false">F45*(F17+Inputs!$B$36)</f>
        <v>0</v>
      </c>
      <c r="G22" s="22" t="n">
        <f aca="false">G45*(G17+Inputs!$B$36)</f>
        <v>0</v>
      </c>
      <c r="H22" s="22" t="n">
        <f aca="false">H45*(H17+Inputs!$B$36)</f>
        <v>0</v>
      </c>
      <c r="I22" s="22" t="n">
        <f aca="false">I45*(I17+Inputs!$B$36)</f>
        <v>0</v>
      </c>
    </row>
    <row r="23" customFormat="false" ht="15" hidden="false" customHeight="false" outlineLevel="0" collapsed="false">
      <c r="A23" s="4" t="s">
        <v>442</v>
      </c>
      <c r="C23" s="22" t="n">
        <f aca="false">C47*Inputs!$B$37</f>
        <v>56.25</v>
      </c>
      <c r="D23" s="22" t="n">
        <f aca="false">D47*Inputs!$B$37</f>
        <v>56.25</v>
      </c>
      <c r="E23" s="22" t="n">
        <f aca="false">E47*Inputs!$B$37</f>
        <v>56.25</v>
      </c>
      <c r="F23" s="22" t="n">
        <f aca="false">F47*Inputs!$B$37</f>
        <v>56.25</v>
      </c>
      <c r="G23" s="22" t="n">
        <f aca="false">G47*Inputs!$B$37</f>
        <v>56.25</v>
      </c>
      <c r="H23" s="22" t="n">
        <f aca="false">H47*Inputs!$B$37</f>
        <v>56.25</v>
      </c>
      <c r="I23" s="22" t="n">
        <f aca="false">I47*Inputs!$B$37</f>
        <v>56.25</v>
      </c>
    </row>
    <row r="24" customFormat="false" ht="15" hidden="false" customHeight="false" outlineLevel="0" collapsed="false">
      <c r="A24" s="23" t="s">
        <v>443</v>
      </c>
      <c r="C24" s="24" t="n">
        <f aca="false">SUM(C20:C23)</f>
        <v>220.125</v>
      </c>
      <c r="D24" s="24" t="n">
        <f aca="false">SUM(D20:D23)</f>
        <v>210.479053144313</v>
      </c>
      <c r="E24" s="24" t="n">
        <f aca="false">SUM(E20:E23)</f>
        <v>206.018612548031</v>
      </c>
      <c r="F24" s="24" t="n">
        <f aca="false">SUM(F20:F23)</f>
        <v>200.887303557269</v>
      </c>
      <c r="G24" s="24" t="n">
        <f aca="false">SUM(G20:G23)</f>
        <v>195.092115898871</v>
      </c>
      <c r="H24" s="24" t="n">
        <f aca="false">SUM(H20:H23)</f>
        <v>188.589263405506</v>
      </c>
      <c r="I24" s="24" t="n">
        <f aca="false">SUM(I20:I23)</f>
        <v>181.392534355704</v>
      </c>
    </row>
    <row r="26" customFormat="false" ht="15" hidden="false" customHeight="false" outlineLevel="0" collapsed="false">
      <c r="A26" s="8" t="s">
        <v>444</v>
      </c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4" t="s">
        <v>208</v>
      </c>
      <c r="C27" s="22" t="n">
        <f aca="false">C10</f>
        <v>424.0425</v>
      </c>
      <c r="D27" s="22" t="n">
        <f aca="false">D10</f>
        <v>445.244625</v>
      </c>
      <c r="E27" s="22" t="n">
        <f aca="false">E10</f>
        <v>465.280633125</v>
      </c>
      <c r="F27" s="22" t="n">
        <f aca="false">F10</f>
        <v>486.218261615625</v>
      </c>
      <c r="G27" s="22" t="n">
        <f aca="false">G10</f>
        <v>505.66699208025</v>
      </c>
      <c r="H27" s="22" t="n">
        <f aca="false">H10</f>
        <v>525.89367176346</v>
      </c>
      <c r="I27" s="22" t="n">
        <f aca="false">I10</f>
        <v>546.929418633998</v>
      </c>
    </row>
    <row r="28" customFormat="false" ht="15" hidden="false" customHeight="false" outlineLevel="0" collapsed="false">
      <c r="A28" s="4" t="s">
        <v>445</v>
      </c>
      <c r="C28" s="22" t="n">
        <f aca="false">-C24</f>
        <v>-220.125</v>
      </c>
      <c r="D28" s="22" t="n">
        <f aca="false">-D24</f>
        <v>-210.479053144313</v>
      </c>
      <c r="E28" s="22" t="n">
        <f aca="false">-E24</f>
        <v>-206.018612548031</v>
      </c>
      <c r="F28" s="22" t="n">
        <f aca="false">-F24</f>
        <v>-200.887303557269</v>
      </c>
      <c r="G28" s="22" t="n">
        <f aca="false">-G24</f>
        <v>-195.092115898871</v>
      </c>
      <c r="H28" s="22" t="n">
        <f aca="false">-H24</f>
        <v>-188.589263405506</v>
      </c>
      <c r="I28" s="22" t="n">
        <f aca="false">-I24</f>
        <v>-181.392534355704</v>
      </c>
    </row>
    <row r="29" customFormat="false" ht="15" hidden="false" customHeight="false" outlineLevel="0" collapsed="false">
      <c r="A29" s="4" t="s">
        <v>446</v>
      </c>
      <c r="C29" s="22" t="n">
        <f aca="false">-MAX(0,C10-C12-MIN(C24,C10*Inputs!$D$66))*Inputs!$B$66</f>
        <v>-55.5255881249999</v>
      </c>
      <c r="D29" s="22" t="n">
        <f aca="false">-MAX(0,D10-D12-MIN(D24,D10*Inputs!$D$66))*Inputs!$B$66</f>
        <v>-58.3018675312499</v>
      </c>
      <c r="E29" s="22" t="n">
        <f aca="false">-MAX(0,E10-E12-MIN(E24,E10*Inputs!$D$66))*Inputs!$B$66</f>
        <v>-60.9254515701562</v>
      </c>
      <c r="F29" s="22" t="n">
        <f aca="false">-MAX(0,F10-F12-MIN(F24,F10*Inputs!$D$66))*Inputs!$B$66</f>
        <v>-63.6670968908132</v>
      </c>
      <c r="G29" s="22" t="n">
        <f aca="false">-MAX(0,G10-G12-MIN(G24,G10*Inputs!$D$66))*Inputs!$B$66</f>
        <v>-66.2137807664457</v>
      </c>
      <c r="H29" s="22" t="n">
        <f aca="false">-MAX(0,H10-H12-MIN(H24,H10*Inputs!$D$66))*Inputs!$B$66</f>
        <v>-68.8623319971036</v>
      </c>
      <c r="I29" s="22" t="n">
        <f aca="false">-MAX(0,I10-I12-MIN(I24,I10*Inputs!$D$66))*Inputs!$B$66</f>
        <v>-71.6168252769877</v>
      </c>
    </row>
    <row r="30" customFormat="false" ht="15" hidden="false" customHeight="false" outlineLevel="0" collapsed="false">
      <c r="A30" s="4" t="s">
        <v>447</v>
      </c>
      <c r="C30" s="22" t="n">
        <f aca="false">-C11</f>
        <v>-44.8364385</v>
      </c>
      <c r="D30" s="22" t="n">
        <f aca="false">-D11</f>
        <v>-47.078260425</v>
      </c>
      <c r="E30" s="22" t="n">
        <f aca="false">-E11</f>
        <v>-49.196782144125</v>
      </c>
      <c r="F30" s="22" t="n">
        <f aca="false">-F11</f>
        <v>-51.4106373406106</v>
      </c>
      <c r="G30" s="22" t="n">
        <f aca="false">-G11</f>
        <v>-53.4670628342351</v>
      </c>
      <c r="H30" s="22" t="n">
        <f aca="false">-H11</f>
        <v>-55.6057453476045</v>
      </c>
      <c r="I30" s="22" t="n">
        <f aca="false">-I11</f>
        <v>-57.8299751615086</v>
      </c>
    </row>
    <row r="31" customFormat="false" ht="15" hidden="false" customHeight="false" outlineLevel="0" collapsed="false">
      <c r="A31" s="4" t="s">
        <v>448</v>
      </c>
      <c r="C31" s="22" t="n">
        <f aca="false">-C13</f>
        <v>-15.3724932</v>
      </c>
      <c r="D31" s="22" t="n">
        <f aca="false">-D13</f>
        <v>-16.14111786</v>
      </c>
      <c r="E31" s="22" t="n">
        <f aca="false">-E13</f>
        <v>-15.2533563777</v>
      </c>
      <c r="F31" s="22" t="n">
        <f aca="false">-F13</f>
        <v>-15.9397574146965</v>
      </c>
      <c r="G31" s="22" t="n">
        <f aca="false">-G13</f>
        <v>-14.8062635540959</v>
      </c>
      <c r="H31" s="22" t="n">
        <f aca="false">-H13</f>
        <v>-15.3985140962597</v>
      </c>
      <c r="I31" s="22" t="n">
        <f aca="false">-I13</f>
        <v>-16.0144546601101</v>
      </c>
    </row>
    <row r="32" customFormat="false" ht="15" hidden="false" customHeight="false" outlineLevel="0" collapsed="false">
      <c r="A32" s="23" t="s">
        <v>449</v>
      </c>
      <c r="C32" s="24" t="n">
        <f aca="false">SUM(C27:C31)</f>
        <v>88.1829801749997</v>
      </c>
      <c r="D32" s="24" t="n">
        <f aca="false">SUM(D27:D31)</f>
        <v>113.244326039437</v>
      </c>
      <c r="E32" s="24" t="n">
        <f aca="false">SUM(E27:E31)</f>
        <v>133.886430484988</v>
      </c>
      <c r="F32" s="24" t="n">
        <f aca="false">SUM(F27:F31)</f>
        <v>154.313466412236</v>
      </c>
      <c r="G32" s="24" t="n">
        <f aca="false">SUM(G27:G31)</f>
        <v>176.087769026602</v>
      </c>
      <c r="H32" s="24" t="n">
        <f aca="false">SUM(H27:H31)</f>
        <v>197.437816916985</v>
      </c>
      <c r="I32" s="24" t="n">
        <f aca="false">SUM(I27:I31)</f>
        <v>220.075629179687</v>
      </c>
    </row>
    <row r="33" customFormat="false" ht="15" hidden="false" customHeight="false" outlineLevel="0" collapsed="false">
      <c r="A33" s="4" t="s">
        <v>450</v>
      </c>
      <c r="C33" s="22" t="n">
        <f aca="false">-C41</f>
        <v>-24</v>
      </c>
      <c r="D33" s="22" t="n">
        <f aca="false">-D41</f>
        <v>-24</v>
      </c>
      <c r="E33" s="22" t="n">
        <f aca="false">-E41</f>
        <v>-24</v>
      </c>
      <c r="F33" s="22" t="n">
        <f aca="false">-F41</f>
        <v>-24</v>
      </c>
      <c r="G33" s="22" t="n">
        <f aca="false">-G41</f>
        <v>-24</v>
      </c>
      <c r="H33" s="22" t="n">
        <f aca="false">-H41</f>
        <v>-24</v>
      </c>
      <c r="I33" s="22" t="n">
        <f aca="false">-I41</f>
        <v>-24</v>
      </c>
    </row>
    <row r="34" customFormat="false" ht="15" hidden="false" customHeight="false" outlineLevel="0" collapsed="false">
      <c r="A34" s="23" t="s">
        <v>451</v>
      </c>
      <c r="C34" s="32" t="n">
        <f aca="false">C32+C33</f>
        <v>64.1829801749997</v>
      </c>
      <c r="D34" s="32" t="n">
        <f aca="false">D32+D33</f>
        <v>89.2443260394372</v>
      </c>
      <c r="E34" s="32" t="n">
        <f aca="false">E32+E33</f>
        <v>109.886430484988</v>
      </c>
      <c r="F34" s="32" t="n">
        <f aca="false">F32+F33</f>
        <v>130.313466412236</v>
      </c>
      <c r="G34" s="32" t="n">
        <f aca="false">G32+G33</f>
        <v>152.087769026602</v>
      </c>
      <c r="H34" s="32" t="n">
        <f aca="false">H32+H33</f>
        <v>173.437816916985</v>
      </c>
      <c r="I34" s="32" t="n">
        <f aca="false">I32+I33</f>
        <v>196.075629179687</v>
      </c>
    </row>
    <row r="35" customFormat="false" ht="15" hidden="false" customHeight="false" outlineLevel="0" collapsed="false">
      <c r="A35" s="8" t="s">
        <v>452</v>
      </c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4" t="s">
        <v>453</v>
      </c>
      <c r="C36" s="22" t="n">
        <f aca="false">B38</f>
        <v>0</v>
      </c>
      <c r="D36" s="22" t="n">
        <f aca="false">C38</f>
        <v>0</v>
      </c>
      <c r="E36" s="22" t="n">
        <f aca="false">D38</f>
        <v>0</v>
      </c>
      <c r="F36" s="22" t="n">
        <f aca="false">E38</f>
        <v>0</v>
      </c>
      <c r="G36" s="22" t="n">
        <f aca="false">F38</f>
        <v>0</v>
      </c>
      <c r="H36" s="22" t="n">
        <f aca="false">G38</f>
        <v>0</v>
      </c>
      <c r="I36" s="22" t="n">
        <f aca="false">H38</f>
        <v>0</v>
      </c>
    </row>
    <row r="37" customFormat="false" ht="15" hidden="false" customHeight="false" outlineLevel="0" collapsed="false">
      <c r="A37" s="4" t="s">
        <v>454</v>
      </c>
      <c r="C37" s="22" t="n">
        <f aca="false">IF(C52&lt;0,MIN(-C52,Inputs!$B$14-C36),-MIN(C36,C52))</f>
        <v>-0</v>
      </c>
      <c r="D37" s="22" t="n">
        <f aca="false">IF(D52&lt;0,MIN(-D52,Inputs!$B$14-D36),-MIN(D36,D52))</f>
        <v>-0</v>
      </c>
      <c r="E37" s="22" t="n">
        <f aca="false">IF(E52&lt;0,MIN(-E52,Inputs!$B$14-E36),-MIN(E36,E52))</f>
        <v>-0</v>
      </c>
      <c r="F37" s="22" t="n">
        <f aca="false">IF(F52&lt;0,MIN(-F52,Inputs!$B$14-F36),-MIN(F36,F52))</f>
        <v>-0</v>
      </c>
      <c r="G37" s="22" t="n">
        <f aca="false">IF(G52&lt;0,MIN(-G52,Inputs!$B$14-G36),-MIN(G36,G52))</f>
        <v>-0</v>
      </c>
      <c r="H37" s="22" t="n">
        <f aca="false">IF(H52&lt;0,MIN(-H52,Inputs!$B$14-H36),-MIN(H36,H52))</f>
        <v>-0</v>
      </c>
      <c r="I37" s="22" t="n">
        <f aca="false">IF(I52&lt;0,MIN(-I52,Inputs!$B$14-I36),-MIN(I36,I52))</f>
        <v>-0</v>
      </c>
    </row>
    <row r="38" customFormat="false" ht="15" hidden="false" customHeight="false" outlineLevel="0" collapsed="false">
      <c r="A38" s="4" t="s">
        <v>455</v>
      </c>
      <c r="B38" s="30" t="n">
        <f aca="false">Cap_Stack!B10</f>
        <v>0</v>
      </c>
      <c r="C38" s="22" t="n">
        <f aca="false">C36+C37</f>
        <v>0</v>
      </c>
      <c r="D38" s="22" t="n">
        <f aca="false">D36+D37</f>
        <v>0</v>
      </c>
      <c r="E38" s="22" t="n">
        <f aca="false">E36+E37</f>
        <v>0</v>
      </c>
      <c r="F38" s="22" t="n">
        <f aca="false">F36+F37</f>
        <v>0</v>
      </c>
      <c r="G38" s="22" t="n">
        <f aca="false">G36+G37</f>
        <v>0</v>
      </c>
      <c r="H38" s="22" t="n">
        <f aca="false">H36+H37</f>
        <v>0</v>
      </c>
      <c r="I38" s="22" t="n">
        <f aca="false">I36+I37</f>
        <v>0</v>
      </c>
    </row>
    <row r="40" customFormat="false" ht="15" hidden="false" customHeight="false" outlineLevel="0" collapsed="false">
      <c r="A40" s="4" t="s">
        <v>456</v>
      </c>
      <c r="C40" s="22" t="n">
        <f aca="false">B43</f>
        <v>2400</v>
      </c>
      <c r="D40" s="22" t="n">
        <f aca="false">C43</f>
        <v>2343.9085099125</v>
      </c>
      <c r="E40" s="22" t="n">
        <f aca="false">D43</f>
        <v>2275.28634689278</v>
      </c>
      <c r="F40" s="22" t="n">
        <f aca="false">E43</f>
        <v>2196.34313165029</v>
      </c>
      <c r="G40" s="22" t="n">
        <f aca="false">F43</f>
        <v>2107.18639844417</v>
      </c>
      <c r="H40" s="22" t="n">
        <f aca="false">G43</f>
        <v>2007.14251393087</v>
      </c>
      <c r="I40" s="22" t="n">
        <f aca="false">H43</f>
        <v>1896.42360547238</v>
      </c>
    </row>
    <row r="41" customFormat="false" ht="15" hidden="false" customHeight="false" outlineLevel="0" collapsed="false">
      <c r="A41" s="4" t="s">
        <v>457</v>
      </c>
      <c r="C41" s="22" t="n">
        <f aca="false">MIN(C40,Inputs!$B$41*Inputs!$F$29)</f>
        <v>24</v>
      </c>
      <c r="D41" s="22" t="n">
        <f aca="false">MIN(D40,Inputs!$B$41*Inputs!$F$29)</f>
        <v>24</v>
      </c>
      <c r="E41" s="22" t="n">
        <f aca="false">MIN(E40,Inputs!$B$41*Inputs!$F$29)</f>
        <v>24</v>
      </c>
      <c r="F41" s="22" t="n">
        <f aca="false">MIN(F40,Inputs!$B$41*Inputs!$F$29)</f>
        <v>24</v>
      </c>
      <c r="G41" s="22" t="n">
        <f aca="false">MIN(G40,Inputs!$B$41*Inputs!$F$29)</f>
        <v>24</v>
      </c>
      <c r="H41" s="22" t="n">
        <f aca="false">MIN(H40,Inputs!$B$41*Inputs!$F$29)</f>
        <v>24</v>
      </c>
      <c r="I41" s="22" t="n">
        <f aca="false">MIN(I40,Inputs!$B$41*Inputs!$F$29)</f>
        <v>24</v>
      </c>
    </row>
    <row r="42" customFormat="false" ht="15" hidden="false" customHeight="false" outlineLevel="0" collapsed="false">
      <c r="A42" s="4" t="s">
        <v>458</v>
      </c>
      <c r="C42" s="22" t="n">
        <f aca="false">MIN(C40-C41,MAX(0,MIN(C34+C37,C53-Inputs!$B$17))*Inputs!$B$42)</f>
        <v>32.0914900874998</v>
      </c>
      <c r="D42" s="22" t="n">
        <f aca="false">MIN(D40-D41,MAX(0,MIN(D34+D37,D53-Inputs!$B$17))*Inputs!$B$42)</f>
        <v>44.6221630197186</v>
      </c>
      <c r="E42" s="22" t="n">
        <f aca="false">MIN(E40-E41,MAX(0,MIN(E34+E37,E53-Inputs!$B$17))*Inputs!$B$42)</f>
        <v>54.9432152424938</v>
      </c>
      <c r="F42" s="22" t="n">
        <f aca="false">MIN(F40-F41,MAX(0,MIN(F34+F37,F53-Inputs!$B$17))*Inputs!$B$42)</f>
        <v>65.1567332061178</v>
      </c>
      <c r="G42" s="22" t="n">
        <f aca="false">MIN(G40-G41,MAX(0,MIN(G34+G37,G53-Inputs!$B$17))*Inputs!$B$42)</f>
        <v>76.0438845133009</v>
      </c>
      <c r="H42" s="22" t="n">
        <f aca="false">MIN(H40-H41,MAX(0,MIN(H34+H37,H53-Inputs!$B$17))*Inputs!$B$42)</f>
        <v>86.7189084584927</v>
      </c>
      <c r="I42" s="22" t="n">
        <f aca="false">MIN(I40-I41,MAX(0,MIN(I34+I37,I53-Inputs!$B$17))*Inputs!$B$42)</f>
        <v>98.0378145898435</v>
      </c>
    </row>
    <row r="43" customFormat="false" ht="15" hidden="false" customHeight="false" outlineLevel="0" collapsed="false">
      <c r="A43" s="23" t="s">
        <v>459</v>
      </c>
      <c r="B43" s="30" t="n">
        <f aca="false">Cap_Stack!B11</f>
        <v>2400</v>
      </c>
      <c r="C43" s="32" t="n">
        <f aca="false">C40-C41-C42</f>
        <v>2343.9085099125</v>
      </c>
      <c r="D43" s="32" t="n">
        <f aca="false">D40-D41-D42</f>
        <v>2275.28634689278</v>
      </c>
      <c r="E43" s="32" t="n">
        <f aca="false">E40-E41-E42</f>
        <v>2196.34313165029</v>
      </c>
      <c r="F43" s="32" t="n">
        <f aca="false">F40-F41-F42</f>
        <v>2107.18639844417</v>
      </c>
      <c r="G43" s="32" t="n">
        <f aca="false">G40-G41-G42</f>
        <v>2007.14251393087</v>
      </c>
      <c r="H43" s="32" t="n">
        <f aca="false">H40-H41-H42</f>
        <v>1896.42360547238</v>
      </c>
      <c r="I43" s="32" t="n">
        <f aca="false">I40-I41-I42</f>
        <v>1774.38579088253</v>
      </c>
    </row>
    <row r="45" customFormat="false" ht="15" hidden="false" customHeight="false" outlineLevel="0" collapsed="false">
      <c r="A45" s="4" t="s">
        <v>460</v>
      </c>
      <c r="C45" s="22" t="n">
        <f aca="false">B46</f>
        <v>0</v>
      </c>
      <c r="D45" s="22" t="n">
        <f aca="false">C46</f>
        <v>0</v>
      </c>
      <c r="E45" s="22" t="n">
        <f aca="false">D46</f>
        <v>0</v>
      </c>
      <c r="F45" s="22" t="n">
        <f aca="false">E46</f>
        <v>0</v>
      </c>
      <c r="G45" s="22" t="n">
        <f aca="false">F46</f>
        <v>0</v>
      </c>
      <c r="H45" s="22" t="n">
        <f aca="false">G46</f>
        <v>0</v>
      </c>
      <c r="I45" s="22" t="n">
        <f aca="false">H46</f>
        <v>0</v>
      </c>
    </row>
    <row r="46" customFormat="false" ht="15" hidden="false" customHeight="false" outlineLevel="0" collapsed="false">
      <c r="A46" s="4" t="s">
        <v>461</v>
      </c>
      <c r="B46" s="30" t="n">
        <f aca="false">Cap_Stack!B13</f>
        <v>0</v>
      </c>
      <c r="C46" s="22" t="n">
        <f aca="false">C45</f>
        <v>0</v>
      </c>
      <c r="D46" s="22" t="n">
        <f aca="false">D45</f>
        <v>0</v>
      </c>
      <c r="E46" s="22" t="n">
        <f aca="false">E45</f>
        <v>0</v>
      </c>
      <c r="F46" s="22" t="n">
        <f aca="false">F45</f>
        <v>0</v>
      </c>
      <c r="G46" s="22" t="n">
        <f aca="false">G45</f>
        <v>0</v>
      </c>
      <c r="H46" s="22" t="n">
        <f aca="false">H45</f>
        <v>0</v>
      </c>
      <c r="I46" s="22" t="n">
        <f aca="false">I45</f>
        <v>0</v>
      </c>
    </row>
    <row r="47" customFormat="false" ht="15" hidden="false" customHeight="false" outlineLevel="0" collapsed="false">
      <c r="A47" s="4" t="s">
        <v>462</v>
      </c>
      <c r="C47" s="22" t="n">
        <f aca="false">B48</f>
        <v>750</v>
      </c>
      <c r="D47" s="22" t="n">
        <f aca="false">C48</f>
        <v>750</v>
      </c>
      <c r="E47" s="22" t="n">
        <f aca="false">D48</f>
        <v>750</v>
      </c>
      <c r="F47" s="22" t="n">
        <f aca="false">E48</f>
        <v>750</v>
      </c>
      <c r="G47" s="22" t="n">
        <f aca="false">F48</f>
        <v>750</v>
      </c>
      <c r="H47" s="22" t="n">
        <f aca="false">G48</f>
        <v>750</v>
      </c>
      <c r="I47" s="22" t="n">
        <f aca="false">H48</f>
        <v>750</v>
      </c>
    </row>
    <row r="48" customFormat="false" ht="15" hidden="false" customHeight="false" outlineLevel="0" collapsed="false">
      <c r="A48" s="4" t="s">
        <v>463</v>
      </c>
      <c r="B48" s="30" t="n">
        <f aca="false">Cap_Stack!B15</f>
        <v>750</v>
      </c>
      <c r="C48" s="22" t="n">
        <f aca="false">C47</f>
        <v>750</v>
      </c>
      <c r="D48" s="22" t="n">
        <f aca="false">D47</f>
        <v>750</v>
      </c>
      <c r="E48" s="22" t="n">
        <f aca="false">E47</f>
        <v>750</v>
      </c>
      <c r="F48" s="22" t="n">
        <f aca="false">F47</f>
        <v>750</v>
      </c>
      <c r="G48" s="22" t="n">
        <f aca="false">G47</f>
        <v>750</v>
      </c>
      <c r="H48" s="22" t="n">
        <f aca="false">H47</f>
        <v>750</v>
      </c>
      <c r="I48" s="22" t="n">
        <f aca="false">I47</f>
        <v>750</v>
      </c>
    </row>
    <row r="50" customFormat="false" ht="15" hidden="false" customHeight="false" outlineLevel="0" collapsed="false">
      <c r="A50" s="8" t="s">
        <v>464</v>
      </c>
      <c r="B50" s="9"/>
      <c r="C50" s="9"/>
      <c r="D50" s="9"/>
      <c r="E50" s="9"/>
      <c r="F50" s="9"/>
      <c r="G50" s="9"/>
      <c r="H50" s="9"/>
      <c r="I50" s="9"/>
    </row>
    <row r="51" customFormat="false" ht="15" hidden="false" customHeight="false" outlineLevel="0" collapsed="false">
      <c r="A51" s="4" t="s">
        <v>465</v>
      </c>
      <c r="C51" s="22" t="n">
        <f aca="false">B55</f>
        <v>54.005000000001</v>
      </c>
      <c r="D51" s="22" t="n">
        <f aca="false">C55</f>
        <v>86.0964900875009</v>
      </c>
      <c r="E51" s="22" t="n">
        <f aca="false">D55</f>
        <v>130.718653107219</v>
      </c>
      <c r="F51" s="22" t="n">
        <f aca="false">E55</f>
        <v>185.661868349713</v>
      </c>
      <c r="G51" s="22" t="n">
        <f aca="false">F55</f>
        <v>250.818601555831</v>
      </c>
      <c r="H51" s="22" t="n">
        <f aca="false">G55</f>
        <v>326.862486069132</v>
      </c>
      <c r="I51" s="22" t="n">
        <f aca="false">H55</f>
        <v>413.581394527625</v>
      </c>
    </row>
    <row r="52" customFormat="false" ht="15" hidden="false" customHeight="false" outlineLevel="0" collapsed="false">
      <c r="A52" s="4" t="s">
        <v>466</v>
      </c>
      <c r="C52" s="22" t="n">
        <f aca="false">C51+C34-Inputs!$B$17</f>
        <v>68.1879801750007</v>
      </c>
      <c r="D52" s="22" t="n">
        <f aca="false">D51+D34-Inputs!$B$17</f>
        <v>125.340816126938</v>
      </c>
      <c r="E52" s="22" t="n">
        <f aca="false">E51+E34-Inputs!$B$17</f>
        <v>190.605083592207</v>
      </c>
      <c r="F52" s="22" t="n">
        <f aca="false">F51+F34-Inputs!$B$17</f>
        <v>265.975334761949</v>
      </c>
      <c r="G52" s="22" t="n">
        <f aca="false">G51+G34-Inputs!$B$17</f>
        <v>352.906370582433</v>
      </c>
      <c r="H52" s="22" t="n">
        <f aca="false">H51+H34-Inputs!$B$17</f>
        <v>450.300302986117</v>
      </c>
      <c r="I52" s="22" t="n">
        <f aca="false">I51+I34-Inputs!$B$17</f>
        <v>559.657023707312</v>
      </c>
    </row>
    <row r="53" customFormat="false" ht="15" hidden="false" customHeight="false" outlineLevel="0" collapsed="false">
      <c r="A53" s="4" t="s">
        <v>467</v>
      </c>
      <c r="C53" s="22" t="n">
        <f aca="false">C51+C34+C37</f>
        <v>118.187980175001</v>
      </c>
      <c r="D53" s="22" t="n">
        <f aca="false">D51+D34+D37</f>
        <v>175.340816126938</v>
      </c>
      <c r="E53" s="22" t="n">
        <f aca="false">E51+E34+E37</f>
        <v>240.605083592207</v>
      </c>
      <c r="F53" s="22" t="n">
        <f aca="false">F51+F34+F37</f>
        <v>315.975334761949</v>
      </c>
      <c r="G53" s="22" t="n">
        <f aca="false">G51+G34+G37</f>
        <v>402.906370582433</v>
      </c>
      <c r="H53" s="22" t="n">
        <f aca="false">H51+H34+H37</f>
        <v>500.300302986117</v>
      </c>
      <c r="I53" s="22" t="n">
        <f aca="false">I51+I34+I37</f>
        <v>609.657023707312</v>
      </c>
    </row>
    <row r="54" customFormat="false" ht="15" hidden="false" customHeight="false" outlineLevel="0" collapsed="false">
      <c r="A54" s="4" t="s">
        <v>468</v>
      </c>
      <c r="C54" s="22" t="n">
        <f aca="false">MAX(0,C53-Inputs!$B$17)</f>
        <v>68.1879801750007</v>
      </c>
      <c r="D54" s="22" t="n">
        <f aca="false">MAX(0,D53-Inputs!$B$17)</f>
        <v>125.340816126938</v>
      </c>
      <c r="E54" s="22" t="n">
        <f aca="false">MAX(0,E53-Inputs!$B$17)</f>
        <v>190.605083592207</v>
      </c>
      <c r="F54" s="22" t="n">
        <f aca="false">MAX(0,F53-Inputs!$B$17)</f>
        <v>265.975334761949</v>
      </c>
      <c r="G54" s="22" t="n">
        <f aca="false">MAX(0,G53-Inputs!$B$17)</f>
        <v>352.906370582433</v>
      </c>
      <c r="H54" s="22" t="n">
        <f aca="false">MAX(0,H53-Inputs!$B$17)</f>
        <v>450.300302986117</v>
      </c>
      <c r="I54" s="22" t="n">
        <f aca="false">MAX(0,I53-Inputs!$B$17)</f>
        <v>559.657023707312</v>
      </c>
    </row>
    <row r="55" customFormat="false" ht="15" hidden="false" customHeight="false" outlineLevel="0" collapsed="false">
      <c r="A55" s="23" t="s">
        <v>469</v>
      </c>
      <c r="B55" s="30" t="n">
        <f aca="false">Cap_Stack!B17</f>
        <v>54.005000000001</v>
      </c>
      <c r="C55" s="32" t="n">
        <f aca="false">C53-C42</f>
        <v>86.0964900875009</v>
      </c>
      <c r="D55" s="32" t="n">
        <f aca="false">D53-D42</f>
        <v>130.718653107219</v>
      </c>
      <c r="E55" s="32" t="n">
        <f aca="false">E53-E42</f>
        <v>185.661868349713</v>
      </c>
      <c r="F55" s="32" t="n">
        <f aca="false">F53-F42</f>
        <v>250.818601555831</v>
      </c>
      <c r="G55" s="32" t="n">
        <f aca="false">G53-G42</f>
        <v>326.862486069132</v>
      </c>
      <c r="H55" s="32" t="n">
        <f aca="false">H53-H42</f>
        <v>413.581394527625</v>
      </c>
      <c r="I55" s="32" t="n">
        <f aca="false">I53-I42</f>
        <v>511.619209117468</v>
      </c>
    </row>
    <row r="57" customFormat="false" ht="15" hidden="false" customHeight="false" outlineLevel="0" collapsed="false">
      <c r="A57" s="8" t="s">
        <v>470</v>
      </c>
      <c r="B57" s="9"/>
      <c r="C57" s="9"/>
      <c r="D57" s="9"/>
      <c r="E57" s="9"/>
      <c r="F57" s="9"/>
      <c r="G57" s="9"/>
      <c r="H57" s="9"/>
      <c r="I57" s="9"/>
    </row>
    <row r="58" customFormat="false" ht="15" hidden="false" customHeight="false" outlineLevel="0" collapsed="false">
      <c r="A58" s="23" t="s">
        <v>471</v>
      </c>
      <c r="B58" s="32" t="n">
        <f aca="false">B38+B43+B46+B48</f>
        <v>3150</v>
      </c>
      <c r="C58" s="32" t="n">
        <f aca="false">C38+C43+C46+C48</f>
        <v>3093.9085099125</v>
      </c>
      <c r="D58" s="32" t="n">
        <f aca="false">D38+D43+D46+D48</f>
        <v>3025.28634689278</v>
      </c>
      <c r="E58" s="32" t="n">
        <f aca="false">E38+E43+E46+E48</f>
        <v>2946.34313165029</v>
      </c>
      <c r="F58" s="32" t="n">
        <f aca="false">F38+F43+F46+F48</f>
        <v>2857.18639844417</v>
      </c>
      <c r="G58" s="32" t="n">
        <f aca="false">G38+G43+G46+G48</f>
        <v>2757.14251393087</v>
      </c>
      <c r="H58" s="32" t="n">
        <f aca="false">H38+H43+H46+H48</f>
        <v>2646.42360547238</v>
      </c>
      <c r="I58" s="32" t="n">
        <f aca="false">I38+I43+I46+I48</f>
        <v>2524.38579088253</v>
      </c>
    </row>
    <row r="59" customFormat="false" ht="15" hidden="false" customHeight="false" outlineLevel="0" collapsed="false">
      <c r="A59" s="4" t="s">
        <v>472</v>
      </c>
      <c r="B59" s="22" t="n">
        <f aca="false">B38+B43</f>
        <v>2400</v>
      </c>
      <c r="C59" s="22" t="n">
        <f aca="false">C38+C43</f>
        <v>2343.9085099125</v>
      </c>
      <c r="D59" s="22" t="n">
        <f aca="false">D38+D43</f>
        <v>2275.28634689278</v>
      </c>
      <c r="E59" s="22" t="n">
        <f aca="false">E38+E43</f>
        <v>2196.34313165029</v>
      </c>
      <c r="F59" s="22" t="n">
        <f aca="false">F38+F43</f>
        <v>2107.18639844417</v>
      </c>
      <c r="G59" s="22" t="n">
        <f aca="false">G38+G43</f>
        <v>2007.14251393087</v>
      </c>
      <c r="H59" s="22" t="n">
        <f aca="false">H38+H43</f>
        <v>1896.42360547238</v>
      </c>
      <c r="I59" s="22" t="n">
        <f aca="false">I38+I43</f>
        <v>1774.38579088253</v>
      </c>
    </row>
    <row r="60" customFormat="false" ht="15" hidden="false" customHeight="false" outlineLevel="0" collapsed="false">
      <c r="A60" s="4" t="s">
        <v>473</v>
      </c>
      <c r="B60" s="22" t="n">
        <f aca="false">B58-B55</f>
        <v>3095.995</v>
      </c>
      <c r="C60" s="22" t="n">
        <f aca="false">C58-C55</f>
        <v>3007.812019825</v>
      </c>
      <c r="D60" s="22" t="n">
        <f aca="false">D58-D55</f>
        <v>2894.56769378556</v>
      </c>
      <c r="E60" s="22" t="n">
        <f aca="false">E58-E55</f>
        <v>2760.68126330057</v>
      </c>
      <c r="F60" s="22" t="n">
        <f aca="false">F58-F55</f>
        <v>2606.36779688834</v>
      </c>
      <c r="G60" s="22" t="n">
        <f aca="false">G58-G55</f>
        <v>2430.28002786174</v>
      </c>
      <c r="H60" s="22" t="n">
        <f aca="false">H58-H55</f>
        <v>2232.84221094475</v>
      </c>
      <c r="I60" s="22" t="n">
        <f aca="false">I58-I55</f>
        <v>2012.76658176506</v>
      </c>
    </row>
    <row r="61" customFormat="false" ht="15" hidden="false" customHeight="false" outlineLevel="0" collapsed="false">
      <c r="A61" s="4" t="s">
        <v>474</v>
      </c>
      <c r="B61" s="22" t="n">
        <f aca="false">B55+Inputs!$B$14-B38</f>
        <v>554.005000000001</v>
      </c>
      <c r="C61" s="22" t="n">
        <f aca="false">C55+Inputs!$B$14-C38</f>
        <v>586.096490087501</v>
      </c>
      <c r="D61" s="22" t="n">
        <f aca="false">D55+Inputs!$B$14-D38</f>
        <v>630.718653107219</v>
      </c>
      <c r="E61" s="22" t="n">
        <f aca="false">E55+Inputs!$B$14-E38</f>
        <v>685.661868349713</v>
      </c>
      <c r="F61" s="22" t="n">
        <f aca="false">F55+Inputs!$B$14-F38</f>
        <v>750.818601555831</v>
      </c>
      <c r="G61" s="22" t="n">
        <f aca="false">G55+Inputs!$B$14-G38</f>
        <v>826.862486069132</v>
      </c>
      <c r="H61" s="22" t="n">
        <f aca="false">H55+Inputs!$B$14-H38</f>
        <v>913.581394527625</v>
      </c>
      <c r="I61" s="22" t="n">
        <f aca="false">I55+Inputs!$B$14-I38</f>
        <v>1011.61920911747</v>
      </c>
    </row>
    <row r="62" customFormat="false" ht="15" hidden="false" customHeight="false" outlineLevel="0" collapsed="false">
      <c r="A62" s="23" t="s">
        <v>475</v>
      </c>
      <c r="B62" s="32" t="n">
        <f aca="false">MAX(0,-B55)</f>
        <v>0</v>
      </c>
      <c r="C62" s="32" t="n">
        <f aca="false">MAX(0,-C55)</f>
        <v>0</v>
      </c>
      <c r="D62" s="32" t="n">
        <f aca="false">MAX(0,-D55)</f>
        <v>0</v>
      </c>
      <c r="E62" s="32" t="n">
        <f aca="false">MAX(0,-E55)</f>
        <v>0</v>
      </c>
      <c r="F62" s="32" t="n">
        <f aca="false">MAX(0,-F55)</f>
        <v>0</v>
      </c>
      <c r="G62" s="32" t="n">
        <f aca="false">MAX(0,-G55)</f>
        <v>0</v>
      </c>
      <c r="H62" s="32" t="n">
        <f aca="false">MAX(0,-H55)</f>
        <v>0</v>
      </c>
      <c r="I62" s="32" t="n">
        <f aca="false">MAX(0,-I55)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1" t="s">
        <v>476</v>
      </c>
    </row>
    <row r="2" customFormat="false" ht="15" hidden="false" customHeight="false" outlineLevel="0" collapsed="false">
      <c r="A2" s="2" t="s">
        <v>477</v>
      </c>
    </row>
    <row r="3" customFormat="false" ht="15" hidden="false" customHeight="false" outlineLevel="0" collapsed="false">
      <c r="A3" s="23" t="s">
        <v>426</v>
      </c>
      <c r="B3" s="6" t="str">
        <f aca="false">Inputs!C5</f>
        <v>Lender Base</v>
      </c>
      <c r="D3" s="23" t="s">
        <v>386</v>
      </c>
      <c r="E3" s="6" t="str">
        <f aca="false">Inputs!C6</f>
        <v>B: 1L + unsecured notes</v>
      </c>
      <c r="H3" s="23" t="s">
        <v>427</v>
      </c>
      <c r="I3" s="6" t="str">
        <f aca="false">Inputs!C7</f>
        <v>Base SOFR</v>
      </c>
    </row>
    <row r="4" customFormat="false" ht="15" hidden="false" customHeight="false" outlineLevel="0" collapsed="false">
      <c r="A4" s="20" t="s">
        <v>478</v>
      </c>
      <c r="B4" s="21" t="s">
        <v>428</v>
      </c>
      <c r="C4" s="21" t="s">
        <v>92</v>
      </c>
      <c r="D4" s="21" t="s">
        <v>93</v>
      </c>
      <c r="E4" s="21" t="s">
        <v>94</v>
      </c>
      <c r="F4" s="21" t="s">
        <v>95</v>
      </c>
      <c r="G4" s="21" t="s">
        <v>96</v>
      </c>
      <c r="H4" s="21" t="s">
        <v>97</v>
      </c>
      <c r="I4" s="21" t="s">
        <v>98</v>
      </c>
    </row>
    <row r="5" customFormat="false" ht="15" hidden="false" customHeight="false" outlineLevel="0" collapsed="false">
      <c r="A5" s="4" t="s">
        <v>208</v>
      </c>
      <c r="B5" s="30" t="n">
        <f aca="false">Projections!B10</f>
        <v>403.85</v>
      </c>
      <c r="C5" s="30" t="n">
        <f aca="false">Projections!C10</f>
        <v>424.0425</v>
      </c>
      <c r="D5" s="30" t="n">
        <f aca="false">Projections!D10</f>
        <v>445.244625</v>
      </c>
      <c r="E5" s="30" t="n">
        <f aca="false">Projections!E10</f>
        <v>465.280633125</v>
      </c>
      <c r="F5" s="30" t="n">
        <f aca="false">Projections!F10</f>
        <v>486.218261615625</v>
      </c>
      <c r="G5" s="30" t="n">
        <f aca="false">Projections!G10</f>
        <v>505.66699208025</v>
      </c>
      <c r="H5" s="30" t="n">
        <f aca="false">Projections!H10</f>
        <v>525.89367176346</v>
      </c>
      <c r="I5" s="30" t="n">
        <f aca="false">Projections!I10</f>
        <v>546.929418633998</v>
      </c>
    </row>
    <row r="6" customFormat="false" ht="15" hidden="false" customHeight="false" outlineLevel="0" collapsed="false">
      <c r="A6" s="4" t="s">
        <v>408</v>
      </c>
      <c r="B6" s="30" t="n">
        <f aca="false">Projections!B58</f>
        <v>3150</v>
      </c>
      <c r="C6" s="30" t="n">
        <f aca="false">Projections!C58</f>
        <v>3093.9085099125</v>
      </c>
      <c r="D6" s="30" t="n">
        <f aca="false">Projections!D58</f>
        <v>3025.28634689278</v>
      </c>
      <c r="E6" s="30" t="n">
        <f aca="false">Projections!E58</f>
        <v>2946.34313165029</v>
      </c>
      <c r="F6" s="30" t="n">
        <f aca="false">Projections!F58</f>
        <v>2857.18639844417</v>
      </c>
      <c r="G6" s="30" t="n">
        <f aca="false">Projections!G58</f>
        <v>2757.14251393087</v>
      </c>
      <c r="H6" s="30" t="n">
        <f aca="false">Projections!H58</f>
        <v>2646.42360547238</v>
      </c>
      <c r="I6" s="30" t="n">
        <f aca="false">Projections!I58</f>
        <v>2524.38579088253</v>
      </c>
    </row>
    <row r="7" customFormat="false" ht="15" hidden="false" customHeight="false" outlineLevel="0" collapsed="false">
      <c r="A7" s="4" t="s">
        <v>237</v>
      </c>
      <c r="B7" s="30" t="n">
        <f aca="false">Projections!B60</f>
        <v>3095.995</v>
      </c>
      <c r="C7" s="30" t="n">
        <f aca="false">Projections!C60</f>
        <v>3007.812019825</v>
      </c>
      <c r="D7" s="30" t="n">
        <f aca="false">Projections!D60</f>
        <v>2894.56769378556</v>
      </c>
      <c r="E7" s="30" t="n">
        <f aca="false">Projections!E60</f>
        <v>2760.68126330057</v>
      </c>
      <c r="F7" s="30" t="n">
        <f aca="false">Projections!F60</f>
        <v>2606.36779688834</v>
      </c>
      <c r="G7" s="30" t="n">
        <f aca="false">Projections!G60</f>
        <v>2430.28002786174</v>
      </c>
      <c r="H7" s="30" t="n">
        <f aca="false">Projections!H60</f>
        <v>2232.84221094475</v>
      </c>
      <c r="I7" s="30" t="n">
        <f aca="false">Projections!I60</f>
        <v>2012.76658176506</v>
      </c>
    </row>
    <row r="8" customFormat="false" ht="15" hidden="false" customHeight="false" outlineLevel="0" collapsed="false">
      <c r="A8" s="4" t="s">
        <v>479</v>
      </c>
      <c r="B8" s="30" t="n">
        <f aca="false">Projections!B59</f>
        <v>2400</v>
      </c>
      <c r="C8" s="30" t="n">
        <f aca="false">Projections!C59</f>
        <v>2343.9085099125</v>
      </c>
      <c r="D8" s="30" t="n">
        <f aca="false">Projections!D59</f>
        <v>2275.28634689278</v>
      </c>
      <c r="E8" s="30" t="n">
        <f aca="false">Projections!E59</f>
        <v>2196.34313165029</v>
      </c>
      <c r="F8" s="30" t="n">
        <f aca="false">Projections!F59</f>
        <v>2107.18639844417</v>
      </c>
      <c r="G8" s="30" t="n">
        <f aca="false">Projections!G59</f>
        <v>2007.14251393087</v>
      </c>
      <c r="H8" s="30" t="n">
        <f aca="false">Projections!H59</f>
        <v>1896.42360547238</v>
      </c>
      <c r="I8" s="30" t="n">
        <f aca="false">Projections!I59</f>
        <v>1774.38579088253</v>
      </c>
    </row>
    <row r="9" customFormat="false" ht="15" hidden="false" customHeight="false" outlineLevel="0" collapsed="false">
      <c r="A9" s="4" t="s">
        <v>261</v>
      </c>
      <c r="B9" s="30" t="n">
        <f aca="false">Projections!B14</f>
        <v>509.9314</v>
      </c>
      <c r="C9" s="30" t="n">
        <f aca="false">Projections!C14</f>
        <v>535.42797</v>
      </c>
      <c r="D9" s="30" t="n">
        <f aca="false">Projections!D14</f>
        <v>562.1993685</v>
      </c>
      <c r="E9" s="30" t="n">
        <f aca="false">Projections!E14</f>
        <v>587.4983400825</v>
      </c>
      <c r="F9" s="30" t="n">
        <f aca="false">Projections!F14</f>
        <v>613.935765386212</v>
      </c>
      <c r="G9" s="30" t="n">
        <f aca="false">Projections!G14</f>
        <v>638.493196001661</v>
      </c>
      <c r="H9" s="30" t="n">
        <f aca="false">Projections!H14</f>
        <v>664.032923841727</v>
      </c>
      <c r="I9" s="30" t="n">
        <f aca="false">Projections!I14</f>
        <v>690.594240795396</v>
      </c>
    </row>
    <row r="10" customFormat="false" ht="15" hidden="false" customHeight="false" outlineLevel="0" collapsed="false">
      <c r="A10" s="8" t="s">
        <v>480</v>
      </c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4" t="s">
        <v>481</v>
      </c>
      <c r="B11" s="31" t="n">
        <f aca="false">IF(B5&lt;=0,99,B6/B5)</f>
        <v>7.7999257149932</v>
      </c>
      <c r="C11" s="31" t="n">
        <f aca="false">IF(C5&lt;=0,99,C6/C5)</f>
        <v>7.2962226897363</v>
      </c>
      <c r="D11" s="31" t="n">
        <f aca="false">IF(D5&lt;=0,99,D6/D5)</f>
        <v>6.79466113014342</v>
      </c>
      <c r="E11" s="31" t="n">
        <f aca="false">IF(E5&lt;=0,99,E6/E5)</f>
        <v>6.3324001084282</v>
      </c>
      <c r="F11" s="31" t="n">
        <f aca="false">IF(F5&lt;=0,99,F6/F5)</f>
        <v>5.87634530416485</v>
      </c>
      <c r="G11" s="31" t="n">
        <f aca="false">IF(G5&lt;=0,99,G6/G5)</f>
        <v>5.45248663075344</v>
      </c>
      <c r="H11" s="31" t="n">
        <f aca="false">IF(H5&lt;=0,99,H6/H5)</f>
        <v>5.03224082655002</v>
      </c>
      <c r="I11" s="31" t="n">
        <f aca="false">IF(I5&lt;=0,99,I6/I5)</f>
        <v>4.6155604450523</v>
      </c>
    </row>
    <row r="12" customFormat="false" ht="15" hidden="false" customHeight="false" outlineLevel="0" collapsed="false">
      <c r="A12" s="4" t="s">
        <v>482</v>
      </c>
      <c r="B12" s="31" t="n">
        <f aca="false">IF(B5&lt;=0,99,B7/B5)</f>
        <v>7.6662003219017</v>
      </c>
      <c r="C12" s="31" t="n">
        <f aca="false">IF(C5&lt;=0,99,C7/C5)</f>
        <v>7.09318528172295</v>
      </c>
      <c r="D12" s="31" t="n">
        <f aca="false">IF(D5&lt;=0,99,D7/D5)</f>
        <v>6.50107273902647</v>
      </c>
      <c r="E12" s="31" t="n">
        <f aca="false">IF(E5&lt;=0,99,E7/E5)</f>
        <v>5.93336809391528</v>
      </c>
      <c r="F12" s="31" t="n">
        <f aca="false">IF(F5&lt;=0,99,F7/F5)</f>
        <v>5.36048931652176</v>
      </c>
      <c r="G12" s="31" t="n">
        <f aca="false">IF(G5&lt;=0,99,G7/G5)</f>
        <v>4.80608793123687</v>
      </c>
      <c r="H12" s="31" t="n">
        <f aca="false">IF(H5&lt;=0,99,H7/H5)</f>
        <v>4.2458054371665</v>
      </c>
      <c r="I12" s="31" t="n">
        <f aca="false">IF(I5&lt;=0,99,I7/I5)</f>
        <v>3.68012126097023</v>
      </c>
    </row>
    <row r="13" customFormat="false" ht="15" hidden="false" customHeight="false" outlineLevel="0" collapsed="false">
      <c r="A13" s="4" t="s">
        <v>483</v>
      </c>
      <c r="B13" s="31" t="n">
        <f aca="false">IF(B5&lt;=0,99,(B8-Projections!B55)/B5)</f>
        <v>5.80907515166523</v>
      </c>
      <c r="C13" s="31" t="n">
        <f aca="false">IF(C5&lt;=0,99,(C8-Projections!C55)/C5)</f>
        <v>5.32449464340249</v>
      </c>
      <c r="D13" s="31" t="n">
        <f aca="false">IF(D5&lt;=0,99,(D8-Projections!D55)/D5)</f>
        <v>4.81660546443557</v>
      </c>
      <c r="E13" s="31" t="n">
        <f aca="false">IF(E5&lt;=0,99,(E8-Projections!E55)/E5)</f>
        <v>4.32143768760819</v>
      </c>
      <c r="F13" s="31" t="n">
        <f aca="false">IF(F5&lt;=0,99,(F8-Projections!F55)/F5)</f>
        <v>3.81797218129967</v>
      </c>
      <c r="G13" s="31" t="n">
        <f aca="false">IF(G5&lt;=0,99,(G8-Projections!G55)/G5)</f>
        <v>3.3228983781387</v>
      </c>
      <c r="H13" s="31" t="n">
        <f aca="false">IF(H5&lt;=0,99,(H8-Projections!H55)/H5)</f>
        <v>2.81966163611057</v>
      </c>
      <c r="I13" s="31" t="n">
        <f aca="false">IF(I5&lt;=0,99,(I8-Projections!I55)/I5)</f>
        <v>2.3088291445703</v>
      </c>
    </row>
    <row r="14" customFormat="false" ht="15" hidden="false" customHeight="false" outlineLevel="0" collapsed="false">
      <c r="A14" s="4" t="s">
        <v>484</v>
      </c>
      <c r="B14" s="31" t="n">
        <f aca="false">IF(B9&lt;=0,99,B7/B9)</f>
        <v>6.07139509353611</v>
      </c>
      <c r="C14" s="31" t="n">
        <f aca="false">IF(C9&lt;=0,99,C7/C9)</f>
        <v>5.61758478890261</v>
      </c>
      <c r="D14" s="31" t="n">
        <f aca="false">IF(D9&lt;=0,99,D7/D9)</f>
        <v>5.14864984908919</v>
      </c>
      <c r="E14" s="31" t="n">
        <f aca="false">IF(E9&lt;=0,99,E7/E9)</f>
        <v>4.69904521417525</v>
      </c>
      <c r="F14" s="31" t="n">
        <f aca="false">IF(F9&lt;=0,99,F7/F9)</f>
        <v>4.24534282548067</v>
      </c>
      <c r="G14" s="31" t="n">
        <f aca="false">IF(G9&lt;=0,99,G7/G9)</f>
        <v>3.80627396357629</v>
      </c>
      <c r="H14" s="31" t="n">
        <f aca="false">IF(H9&lt;=0,99,H7/H9)</f>
        <v>3.36254744422424</v>
      </c>
      <c r="I14" s="31" t="n">
        <f aca="false">IF(I9&lt;=0,99,I7/I9)</f>
        <v>2.91454295860743</v>
      </c>
    </row>
    <row r="15" customFormat="false" ht="15" hidden="false" customHeight="false" outlineLevel="0" collapsed="false">
      <c r="A15" s="8" t="s">
        <v>485</v>
      </c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4" t="s">
        <v>486</v>
      </c>
      <c r="C16" s="31" t="n">
        <f aca="false">IF(Projections!C24=0,0,C5/Projections!C24)</f>
        <v>1.92637137989778</v>
      </c>
      <c r="D16" s="31" t="n">
        <f aca="false">IF(Projections!D24=0,0,D5/Projections!D24)</f>
        <v>2.11538686794986</v>
      </c>
      <c r="E16" s="31" t="n">
        <f aca="false">IF(Projections!E24=0,0,E5/Projections!E24)</f>
        <v>2.25843979517397</v>
      </c>
      <c r="F16" s="31" t="n">
        <f aca="false">IF(Projections!F24=0,0,F5/Projections!F24)</f>
        <v>2.42035336731479</v>
      </c>
      <c r="G16" s="31" t="n">
        <f aca="false">IF(Projections!G24=0,0,G5/Projections!G24)</f>
        <v>2.59193965758396</v>
      </c>
      <c r="H16" s="31" t="n">
        <f aca="false">IF(Projections!H24=0,0,H5/Projections!H24)</f>
        <v>2.78856633865035</v>
      </c>
      <c r="I16" s="31" t="n">
        <f aca="false">IF(Projections!I24=0,0,I5/Projections!I24)</f>
        <v>3.01517050068603</v>
      </c>
    </row>
    <row r="17" customFormat="false" ht="15" hidden="false" customHeight="false" outlineLevel="0" collapsed="false">
      <c r="A17" s="4" t="s">
        <v>487</v>
      </c>
      <c r="C17" s="31" t="n">
        <f aca="false">IF((Projections!C24+Projections!C41+Projections!C7*Inputs!$B$67)=0,0,(C5+Projections!C7*Inputs!$B$67-Projections!C11+Projections!C29)/(Projections!C24+Projections!C41+Projections!C7*Inputs!$B$67))</f>
        <v>1.28781979302304</v>
      </c>
      <c r="D17" s="31" t="n">
        <f aca="false">IF((Projections!D24+Projections!D41+Projections!D7*Inputs!$B$67)=0,0,(D5+Projections!D7*Inputs!$B$67-Projections!D11+Projections!D29)/(Projections!D24+Projections!D41+Projections!D7*Inputs!$B$67))</f>
        <v>1.39267922337171</v>
      </c>
      <c r="E17" s="31" t="n">
        <f aca="false">IF((Projections!E24+Projections!E41+Projections!E7*Inputs!$B$67)=0,0,(E5+Projections!E7*Inputs!$B$67-Projections!E11+Projections!E29)/(Projections!E24+Projections!E41+Projections!E7*Inputs!$B$67))</f>
        <v>1.47144231261702</v>
      </c>
      <c r="F17" s="31" t="n">
        <f aca="false">IF((Projections!F24+Projections!F41+Projections!F7*Inputs!$B$67)=0,0,(F5+Projections!F7*Inputs!$B$67-Projections!F11+Projections!F29)/(Projections!F24+Projections!F41+Projections!F7*Inputs!$B$67))</f>
        <v>1.55842523682426</v>
      </c>
      <c r="G17" s="31" t="n">
        <f aca="false">IF((Projections!G24+Projections!G41+Projections!G7*Inputs!$B$67)=0,0,(G5+Projections!G7*Inputs!$B$67-Projections!G11+Projections!G29)/(Projections!G24+Projections!G41+Projections!G7*Inputs!$B$67))</f>
        <v>1.64790973445385</v>
      </c>
      <c r="H17" s="31" t="n">
        <f aca="false">IF((Projections!H24+Projections!H41+Projections!H7*Inputs!$B$67)=0,0,(H5+Projections!H7*Inputs!$B$67-Projections!H11+Projections!H29)/(Projections!H24+Projections!H41+Projections!H7*Inputs!$B$67))</f>
        <v>1.74749542592134</v>
      </c>
      <c r="I17" s="31" t="n">
        <f aca="false">IF((Projections!I24+Projections!I41+Projections!I7*Inputs!$B$67)=0,0,(I5+Projections!I7*Inputs!$B$67-Projections!I11+Projections!I29)/(Projections!I24+Projections!I41+Projections!I7*Inputs!$B$67))</f>
        <v>1.8585596236961</v>
      </c>
    </row>
    <row r="18" customFormat="false" ht="15" hidden="false" customHeight="false" outlineLevel="0" collapsed="false">
      <c r="A18" s="4" t="s">
        <v>488</v>
      </c>
      <c r="C18" s="29" t="n">
        <f aca="false">IF(C6=0,0,Projections!C32/C6)</f>
        <v>0.0285021292298956</v>
      </c>
      <c r="D18" s="29" t="n">
        <f aca="false">IF(D6=0,0,Projections!D32/D6)</f>
        <v>0.0374325974649469</v>
      </c>
      <c r="E18" s="29" t="n">
        <f aca="false">IF(E6=0,0,Projections!E32/E6)</f>
        <v>0.0454415607763906</v>
      </c>
      <c r="F18" s="29" t="n">
        <f aca="false">IF(F6=0,0,Projections!F32/F6)</f>
        <v>0.0540088901782062</v>
      </c>
      <c r="G18" s="29" t="n">
        <f aca="false">IF(G6=0,0,Projections!G32/G6)</f>
        <v>0.0638660381670126</v>
      </c>
      <c r="H18" s="29" t="n">
        <f aca="false">IF(H6=0,0,Projections!H32/H6)</f>
        <v>0.0746055229059762</v>
      </c>
      <c r="I18" s="29" t="n">
        <f aca="false">IF(I6=0,0,Projections!I32/I6)</f>
        <v>0.087179871624435</v>
      </c>
    </row>
    <row r="19" customFormat="false" ht="15" hidden="false" customHeight="false" outlineLevel="0" collapsed="false">
      <c r="A19" s="4" t="s">
        <v>489</v>
      </c>
      <c r="C19" s="29" t="n">
        <f aca="false">IF($B$6=0,0,1-C6/$B$6)</f>
        <v>0.01780682225</v>
      </c>
      <c r="D19" s="29" t="n">
        <f aca="false">IF($B$6=0,0,1-D6/$B$6)</f>
        <v>0.0395916359070536</v>
      </c>
      <c r="E19" s="29" t="n">
        <f aca="false">IF($B$6=0,0,1-E6/$B$6)</f>
        <v>0.0646529740792738</v>
      </c>
      <c r="F19" s="29" t="n">
        <f aca="false">IF($B$6=0,0,1-F6/$B$6)</f>
        <v>0.0929566989066127</v>
      </c>
      <c r="G19" s="29" t="n">
        <f aca="false">IF($B$6=0,0,1-G6/$B$6)</f>
        <v>0.124716662244169</v>
      </c>
      <c r="H19" s="29" t="n">
        <f aca="false">IF($B$6=0,0,1-H6/$B$6)</f>
        <v>0.159865522072262</v>
      </c>
      <c r="I19" s="29" t="n">
        <f aca="false">IF($B$6=0,0,1-I6/$B$6)</f>
        <v>0.198607685434117</v>
      </c>
    </row>
    <row r="20" customFormat="false" ht="15" hidden="false" customHeight="false" outlineLevel="0" collapsed="false">
      <c r="A20" s="4" t="s">
        <v>474</v>
      </c>
      <c r="B20" s="30" t="n">
        <f aca="false">Projections!B61</f>
        <v>554.005000000001</v>
      </c>
      <c r="C20" s="30" t="n">
        <f aca="false">Projections!C61</f>
        <v>586.096490087501</v>
      </c>
      <c r="D20" s="30" t="n">
        <f aca="false">Projections!D61</f>
        <v>630.718653107219</v>
      </c>
      <c r="E20" s="30" t="n">
        <f aca="false">Projections!E61</f>
        <v>685.661868349713</v>
      </c>
      <c r="F20" s="30" t="n">
        <f aca="false">Projections!F61</f>
        <v>750.818601555831</v>
      </c>
      <c r="G20" s="30" t="n">
        <f aca="false">Projections!G61</f>
        <v>826.862486069132</v>
      </c>
      <c r="H20" s="30" t="n">
        <f aca="false">Projections!H61</f>
        <v>913.581394527625</v>
      </c>
      <c r="I20" s="30" t="n">
        <f aca="false">Projections!I61</f>
        <v>1011.61920911747</v>
      </c>
    </row>
    <row r="22" customFormat="false" ht="15" hidden="false" customHeight="false" outlineLevel="0" collapsed="false">
      <c r="A22" s="8" t="s">
        <v>490</v>
      </c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4" t="s">
        <v>491</v>
      </c>
      <c r="B23" s="47" t="n">
        <f aca="false">Inputs!$B$69</f>
        <v>7</v>
      </c>
      <c r="C23" s="47" t="n">
        <f aca="false">Inputs!$B$69</f>
        <v>7</v>
      </c>
      <c r="D23" s="47" t="n">
        <f aca="false">Inputs!$B$69</f>
        <v>7</v>
      </c>
      <c r="E23" s="47" t="n">
        <f aca="false">Inputs!$B$69</f>
        <v>7</v>
      </c>
      <c r="F23" s="47" t="n">
        <f aca="false">Inputs!$B$69</f>
        <v>7</v>
      </c>
      <c r="G23" s="47" t="n">
        <f aca="false">Inputs!$B$69</f>
        <v>7</v>
      </c>
      <c r="H23" s="47" t="n">
        <f aca="false">Inputs!$B$69</f>
        <v>7</v>
      </c>
      <c r="I23" s="47" t="n">
        <f aca="false">Inputs!$B$69</f>
        <v>7</v>
      </c>
    </row>
    <row r="24" customFormat="false" ht="15" hidden="false" customHeight="false" outlineLevel="0" collapsed="false">
      <c r="A24" s="4" t="s">
        <v>492</v>
      </c>
      <c r="B24" s="31" t="n">
        <f aca="false">IF(B9&lt;=0,99,(B8-Projections!B55)/B9)</f>
        <v>4.60060902309605</v>
      </c>
      <c r="C24" s="31" t="n">
        <f aca="false">IF(C9&lt;=0,99,(C8-Projections!C55)/C9)</f>
        <v>4.21683615038826</v>
      </c>
      <c r="D24" s="31" t="n">
        <f aca="false">IF(D9&lt;=0,99,(D8-Projections!D55)/D9)</f>
        <v>3.81460352669458</v>
      </c>
      <c r="E24" s="31" t="n">
        <f aca="false">IF(E9&lt;=0,99,(E8-Projections!E55)/E9)</f>
        <v>3.42244586260146</v>
      </c>
      <c r="F24" s="31" t="n">
        <f aca="false">IF(F9&lt;=0,99,(F8-Projections!F55)/F9)</f>
        <v>3.02371665172584</v>
      </c>
      <c r="G24" s="31" t="n">
        <f aca="false">IF(G9&lt;=0,99,(G8-Projections!G55)/G9)</f>
        <v>2.63163341188896</v>
      </c>
      <c r="H24" s="31" t="n">
        <f aca="false">IF(H9&lt;=0,99,(H8-Projections!H55)/H9)</f>
        <v>2.23308537529412</v>
      </c>
      <c r="I24" s="31" t="n">
        <f aca="false">IF(I9&lt;=0,99,(I8-Projections!I55)/I9)</f>
        <v>1.8285217384823</v>
      </c>
    </row>
    <row r="25" customFormat="false" ht="15" hidden="false" customHeight="false" outlineLevel="0" collapsed="false">
      <c r="A25" s="4" t="s">
        <v>493</v>
      </c>
      <c r="B25" s="29" t="n">
        <f aca="false">IF(B24&lt;=0,1,1-B24/B23)</f>
        <v>0.342770139557707</v>
      </c>
      <c r="C25" s="29" t="n">
        <f aca="false">IF(C24&lt;=0,1,1-C24/C23)</f>
        <v>0.39759483565882</v>
      </c>
      <c r="D25" s="29" t="n">
        <f aca="false">IF(D24&lt;=0,1,1-D24/D23)</f>
        <v>0.455056639043632</v>
      </c>
      <c r="E25" s="29" t="n">
        <f aca="false">IF(E24&lt;=0,1,1-E24/E23)</f>
        <v>0.511079162485506</v>
      </c>
      <c r="F25" s="29" t="n">
        <f aca="false">IF(F24&lt;=0,1,1-F24/F23)</f>
        <v>0.56804047832488</v>
      </c>
      <c r="G25" s="29" t="n">
        <f aca="false">IF(G24&lt;=0,1,1-G24/G23)</f>
        <v>0.624052369730149</v>
      </c>
      <c r="H25" s="29" t="n">
        <f aca="false">IF(H24&lt;=0,1,1-H24/H23)</f>
        <v>0.680987803529412</v>
      </c>
      <c r="I25" s="29" t="n">
        <f aca="false">IF(I24&lt;=0,1,1-I24/I23)</f>
        <v>0.738782608788242</v>
      </c>
    </row>
    <row r="26" customFormat="false" ht="15" hidden="false" customHeight="false" outlineLevel="0" collapsed="false">
      <c r="A26" s="8" t="s">
        <v>494</v>
      </c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4" t="s">
        <v>495</v>
      </c>
      <c r="C27" s="49" t="n">
        <f aca="false">IF(C17&lt;Inputs!$B$70,1,0)</f>
        <v>0</v>
      </c>
      <c r="D27" s="49" t="n">
        <f aca="false">IF(D17&lt;Inputs!$B$70,1,0)</f>
        <v>0</v>
      </c>
      <c r="E27" s="49" t="n">
        <f aca="false">IF(E17&lt;Inputs!$B$70,1,0)</f>
        <v>0</v>
      </c>
      <c r="F27" s="49" t="n">
        <f aca="false">IF(F17&lt;Inputs!$B$70,1,0)</f>
        <v>0</v>
      </c>
      <c r="G27" s="49" t="n">
        <f aca="false">IF(G17&lt;Inputs!$B$70,1,0)</f>
        <v>0</v>
      </c>
      <c r="H27" s="49" t="n">
        <f aca="false">IF(H17&lt;Inputs!$B$70,1,0)</f>
        <v>0</v>
      </c>
      <c r="I27" s="49" t="n">
        <f aca="false">IF(I17&lt;Inputs!$B$70,1,0)</f>
        <v>0</v>
      </c>
    </row>
    <row r="28" customFormat="false" ht="15" hidden="false" customHeight="false" outlineLevel="0" collapsed="false">
      <c r="A28" s="4" t="s">
        <v>496</v>
      </c>
      <c r="C28" s="49" t="n">
        <f aca="false">IF(C12&gt;Inputs!$B$71,1,0)</f>
        <v>0</v>
      </c>
      <c r="D28" s="49" t="n">
        <f aca="false">IF(D12&gt;Inputs!$B$71,1,0)</f>
        <v>0</v>
      </c>
      <c r="E28" s="49" t="n">
        <f aca="false">IF(E12&gt;Inputs!$B$71,1,0)</f>
        <v>0</v>
      </c>
      <c r="F28" s="49" t="n">
        <f aca="false">IF(F12&gt;Inputs!$B$71,1,0)</f>
        <v>0</v>
      </c>
      <c r="G28" s="49" t="n">
        <f aca="false">IF(G12&gt;Inputs!$B$71,1,0)</f>
        <v>0</v>
      </c>
      <c r="H28" s="49" t="n">
        <f aca="false">IF(H12&gt;Inputs!$B$71,1,0)</f>
        <v>0</v>
      </c>
      <c r="I28" s="49" t="n">
        <f aca="false">IF(I12&gt;Inputs!$B$71,1,0)</f>
        <v>0</v>
      </c>
    </row>
    <row r="29" customFormat="false" ht="15" hidden="false" customHeight="false" outlineLevel="0" collapsed="false">
      <c r="A29" s="4" t="s">
        <v>497</v>
      </c>
      <c r="C29" s="49" t="n">
        <f aca="false">IF(C20&lt;Inputs!$B$72,1,0)</f>
        <v>0</v>
      </c>
      <c r="D29" s="49" t="n">
        <f aca="false">IF(D20&lt;Inputs!$B$72,1,0)</f>
        <v>0</v>
      </c>
      <c r="E29" s="49" t="n">
        <f aca="false">IF(E20&lt;Inputs!$B$72,1,0)</f>
        <v>0</v>
      </c>
      <c r="F29" s="49" t="n">
        <f aca="false">IF(F20&lt;Inputs!$B$72,1,0)</f>
        <v>0</v>
      </c>
      <c r="G29" s="49" t="n">
        <f aca="false">IF(G20&lt;Inputs!$B$72,1,0)</f>
        <v>0</v>
      </c>
      <c r="H29" s="49" t="n">
        <f aca="false">IF(H20&lt;Inputs!$B$72,1,0)</f>
        <v>0</v>
      </c>
      <c r="I29" s="49" t="n">
        <f aca="false">IF(I20&lt;Inputs!$B$72,1,0)</f>
        <v>0</v>
      </c>
    </row>
    <row r="30" customFormat="false" ht="15" hidden="false" customHeight="false" outlineLevel="0" collapsed="false">
      <c r="A30" s="4" t="s">
        <v>498</v>
      </c>
      <c r="C30" s="49" t="n">
        <f aca="false">IF(C24&gt;C23,1,0)</f>
        <v>0</v>
      </c>
      <c r="D30" s="49" t="n">
        <f aca="false">IF(D24&gt;D23,1,0)</f>
        <v>0</v>
      </c>
      <c r="E30" s="49" t="n">
        <f aca="false">IF(E24&gt;E23,1,0)</f>
        <v>0</v>
      </c>
      <c r="F30" s="49" t="n">
        <f aca="false">IF(F24&gt;F23,1,0)</f>
        <v>0</v>
      </c>
      <c r="G30" s="49" t="n">
        <f aca="false">IF(G24&gt;G23,1,0)</f>
        <v>0</v>
      </c>
      <c r="H30" s="49" t="n">
        <f aca="false">IF(H24&gt;H23,1,0)</f>
        <v>0</v>
      </c>
      <c r="I30" s="49" t="n">
        <f aca="false">IF(I24&gt;I23,1,0)</f>
        <v>0</v>
      </c>
    </row>
    <row r="31" customFormat="false" ht="15" hidden="false" customHeight="false" outlineLevel="0" collapsed="false">
      <c r="A31" s="23" t="s">
        <v>499</v>
      </c>
      <c r="C31" s="50" t="n">
        <f aca="false">MAX(C27:C30)</f>
        <v>0</v>
      </c>
      <c r="D31" s="50" t="n">
        <f aca="false">MAX(D27:D30)</f>
        <v>0</v>
      </c>
      <c r="E31" s="50" t="n">
        <f aca="false">MAX(E27:E30)</f>
        <v>0</v>
      </c>
      <c r="F31" s="50" t="n">
        <f aca="false">MAX(F27:F30)</f>
        <v>0</v>
      </c>
      <c r="G31" s="50" t="n">
        <f aca="false">MAX(G27:G30)</f>
        <v>0</v>
      </c>
      <c r="H31" s="50" t="n">
        <f aca="false">MAX(H27:H30)</f>
        <v>0</v>
      </c>
      <c r="I31" s="50" t="n">
        <f aca="false">MAX(I27:I30)</f>
        <v>0</v>
      </c>
    </row>
    <row r="33" customFormat="false" ht="15" hidden="false" customHeight="false" outlineLevel="0" collapsed="false">
      <c r="A33" s="23" t="s">
        <v>500</v>
      </c>
      <c r="B33" s="43" t="str">
        <f aca="false">IFERROR(INDEX($C$4:$I$4,MATCH(1,$C$31:$I$31,0)),"None")</f>
        <v>None</v>
      </c>
    </row>
    <row r="34" customFormat="false" ht="15" hidden="false" customHeight="false" outlineLevel="0" collapsed="false">
      <c r="A34" s="23" t="s">
        <v>501</v>
      </c>
      <c r="B34" s="43" t="n">
        <f aca="false">SUM(C31:I31)</f>
        <v>0</v>
      </c>
    </row>
    <row r="35" customFormat="false" ht="15" hidden="false" customHeight="false" outlineLevel="0" collapsed="false">
      <c r="A35" s="4" t="s">
        <v>502</v>
      </c>
      <c r="B35" s="31" t="n">
        <f aca="false">MAX(B12:I12)</f>
        <v>7.6662003219017</v>
      </c>
    </row>
    <row r="36" customFormat="false" ht="15" hidden="false" customHeight="false" outlineLevel="0" collapsed="false">
      <c r="A36" s="4" t="s">
        <v>503</v>
      </c>
      <c r="B36" s="31" t="n">
        <f aca="false">MIN(C17:I17)</f>
        <v>1.28781979302304</v>
      </c>
    </row>
    <row r="37" customFormat="false" ht="15" hidden="false" customHeight="false" outlineLevel="0" collapsed="false">
      <c r="A37" s="4" t="s">
        <v>504</v>
      </c>
      <c r="B37" s="22" t="n">
        <f aca="false">MIN(B20:I20)</f>
        <v>554.005000000001</v>
      </c>
    </row>
    <row r="38" customFormat="false" ht="15" hidden="false" customHeight="false" outlineLevel="0" collapsed="false">
      <c r="A38" s="4" t="s">
        <v>505</v>
      </c>
      <c r="B38" s="31" t="n">
        <f aca="false">MAX(B14:I14)</f>
        <v>6.07139509353611</v>
      </c>
    </row>
    <row r="39" customFormat="false" ht="15" hidden="false" customHeight="false" outlineLevel="0" collapsed="false">
      <c r="A39" s="23" t="s">
        <v>506</v>
      </c>
      <c r="B39" s="30" t="n">
        <f aca="false">INDEX(Projections!C38:I38,1,Inputs!D14)</f>
        <v>0</v>
      </c>
      <c r="C39" s="2" t="str">
        <f aca="false">IF(B39&gt;0,"Refinancing required before term loan maturity","No revolver balance at maturity")</f>
        <v>No revolver balance at maturity</v>
      </c>
    </row>
    <row r="41" customFormat="false" ht="15" hidden="false" customHeight="false" outlineLevel="0" collapsed="false">
      <c r="A41" s="2" t="s">
        <v>507</v>
      </c>
    </row>
    <row r="42" customFormat="false" ht="15" hidden="false" customHeight="false" outlineLevel="0" collapsed="false">
      <c r="A42" s="2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1" t="s">
        <v>509</v>
      </c>
    </row>
    <row r="2" customFormat="false" ht="15" hidden="false" customHeight="false" outlineLevel="0" collapsed="false">
      <c r="A2" s="2" t="s">
        <v>510</v>
      </c>
    </row>
    <row r="4" customFormat="false" ht="15" hidden="false" customHeight="false" outlineLevel="0" collapsed="false">
      <c r="A4" s="8" t="s">
        <v>511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false" outlineLevel="0" collapsed="false">
      <c r="A5" s="4" t="s">
        <v>512</v>
      </c>
      <c r="B5" s="51" t="n">
        <v>3</v>
      </c>
    </row>
    <row r="6" customFormat="false" ht="15" hidden="false" customHeight="false" outlineLevel="0" collapsed="false">
      <c r="A6" s="4" t="s">
        <v>513</v>
      </c>
      <c r="B6" s="18" t="n">
        <v>0.35</v>
      </c>
    </row>
    <row r="7" customFormat="false" ht="15" hidden="false" customHeight="false" outlineLevel="0" collapsed="false">
      <c r="A7" s="4" t="s">
        <v>514</v>
      </c>
      <c r="B7" s="52" t="n">
        <v>6</v>
      </c>
    </row>
    <row r="8" customFormat="false" ht="15" hidden="false" customHeight="false" outlineLevel="0" collapsed="false">
      <c r="A8" s="4" t="s">
        <v>515</v>
      </c>
      <c r="B8" s="19" t="n">
        <v>0.05</v>
      </c>
    </row>
    <row r="9" customFormat="false" ht="15" hidden="false" customHeight="false" outlineLevel="0" collapsed="false">
      <c r="A9" s="4" t="s">
        <v>516</v>
      </c>
      <c r="B9" s="13" t="n">
        <v>30</v>
      </c>
    </row>
    <row r="10" customFormat="false" ht="15" hidden="false" customHeight="false" outlineLevel="0" collapsed="false">
      <c r="A10" s="4" t="s">
        <v>517</v>
      </c>
      <c r="B10" s="19" t="n">
        <v>1</v>
      </c>
    </row>
    <row r="11" customFormat="false" ht="15" hidden="false" customHeight="false" outlineLevel="0" collapsed="false">
      <c r="A11" s="4" t="s">
        <v>518</v>
      </c>
      <c r="B11" s="30" t="n">
        <f aca="false">Historicals!F67</f>
        <v>639.767</v>
      </c>
    </row>
    <row r="13" customFormat="false" ht="15" hidden="false" customHeight="false" outlineLevel="0" collapsed="false">
      <c r="A13" s="8" t="s">
        <v>519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4" t="s">
        <v>387</v>
      </c>
      <c r="B14" s="30" t="n">
        <f aca="false">Historicals!G43</f>
        <v>403.85</v>
      </c>
    </row>
    <row r="15" customFormat="false" ht="15" hidden="false" customHeight="false" outlineLevel="0" collapsed="false">
      <c r="A15" s="4" t="s">
        <v>520</v>
      </c>
      <c r="B15" s="22" t="n">
        <f aca="false">B14*(1-B6)</f>
        <v>262.5025</v>
      </c>
    </row>
    <row r="16" customFormat="false" ht="15" hidden="false" customHeight="false" outlineLevel="0" collapsed="false">
      <c r="A16" s="23" t="s">
        <v>521</v>
      </c>
      <c r="B16" s="32" t="n">
        <f aca="false">B15*B7</f>
        <v>1575.015</v>
      </c>
    </row>
    <row r="17" customFormat="false" ht="15" hidden="false" customHeight="false" outlineLevel="0" collapsed="false">
      <c r="A17" s="4" t="s">
        <v>522</v>
      </c>
      <c r="B17" s="22" t="n">
        <f aca="false">-B16*B8</f>
        <v>-78.7507499999999</v>
      </c>
    </row>
    <row r="18" customFormat="false" ht="15" hidden="false" customHeight="false" outlineLevel="0" collapsed="false">
      <c r="A18" s="4" t="s">
        <v>523</v>
      </c>
      <c r="B18" s="22" t="n">
        <f aca="false">-B9</f>
        <v>-30</v>
      </c>
    </row>
    <row r="19" customFormat="false" ht="15" hidden="false" customHeight="false" outlineLevel="0" collapsed="false">
      <c r="A19" s="23" t="s">
        <v>524</v>
      </c>
      <c r="B19" s="24" t="n">
        <f aca="false">MAX(0,SUM(B16:B18))</f>
        <v>1466.26425</v>
      </c>
    </row>
    <row r="21" customFormat="false" ht="23.85" hidden="false" customHeight="false" outlineLevel="0" collapsed="false">
      <c r="A21" s="20" t="s">
        <v>525</v>
      </c>
      <c r="B21" s="21" t="s">
        <v>526</v>
      </c>
      <c r="C21" s="21" t="s">
        <v>527</v>
      </c>
      <c r="D21" s="21" t="s">
        <v>528</v>
      </c>
      <c r="E21" s="21" t="s">
        <v>529</v>
      </c>
    </row>
    <row r="22" customFormat="false" ht="15" hidden="false" customHeight="false" outlineLevel="0" collapsed="false">
      <c r="A22" s="4" t="s">
        <v>530</v>
      </c>
      <c r="B22" s="30" t="n">
        <f aca="false">Inputs!B14*B10</f>
        <v>500</v>
      </c>
    </row>
    <row r="23" customFormat="false" ht="15" hidden="false" customHeight="false" outlineLevel="0" collapsed="false">
      <c r="A23" s="4" t="s">
        <v>531</v>
      </c>
      <c r="B23" s="30" t="n">
        <f aca="false">INDEX(Projections!C40:I40,1,B5)</f>
        <v>2275.28634689278</v>
      </c>
    </row>
    <row r="24" customFormat="false" ht="15" hidden="false" customHeight="false" outlineLevel="0" collapsed="false">
      <c r="A24" s="23" t="s">
        <v>532</v>
      </c>
      <c r="B24" s="32" t="n">
        <f aca="false">B22+B23</f>
        <v>2775.28634689278</v>
      </c>
      <c r="C24" s="32" t="n">
        <f aca="false">MIN(B24,B19)</f>
        <v>1466.26425</v>
      </c>
      <c r="D24" s="27" t="n">
        <f aca="false">IF(B24=0,0,C24/B24)</f>
        <v>0.528328996264343</v>
      </c>
      <c r="E24" s="22" t="n">
        <f aca="false">B19-C24</f>
        <v>0</v>
      </c>
    </row>
    <row r="25" customFormat="false" ht="15" hidden="false" customHeight="false" outlineLevel="0" collapsed="false">
      <c r="A25" s="4" t="s">
        <v>78</v>
      </c>
      <c r="B25" s="30" t="n">
        <f aca="false">INDEX(Projections!C45:I45,1,B5)</f>
        <v>0</v>
      </c>
      <c r="C25" s="22" t="n">
        <f aca="false">MIN(B25,E24)</f>
        <v>0</v>
      </c>
      <c r="D25" s="29" t="n">
        <f aca="false">IF(B25=0,0,C25/B25)</f>
        <v>0</v>
      </c>
      <c r="E25" s="22" t="n">
        <f aca="false">E24-C25</f>
        <v>0</v>
      </c>
    </row>
    <row r="26" customFormat="false" ht="15" hidden="false" customHeight="false" outlineLevel="0" collapsed="false">
      <c r="A26" s="23" t="s">
        <v>533</v>
      </c>
    </row>
    <row r="27" customFormat="false" ht="15" hidden="false" customHeight="false" outlineLevel="0" collapsed="false">
      <c r="A27" s="4" t="s">
        <v>534</v>
      </c>
      <c r="B27" s="30" t="n">
        <f aca="false">INDEX(Projections!C47:I47,1,B5)</f>
        <v>750</v>
      </c>
    </row>
    <row r="28" customFormat="false" ht="15" hidden="false" customHeight="false" outlineLevel="0" collapsed="false">
      <c r="A28" s="4" t="s">
        <v>535</v>
      </c>
      <c r="B28" s="22" t="n">
        <f aca="false">B11</f>
        <v>639.767</v>
      </c>
    </row>
    <row r="29" customFormat="false" ht="15" hidden="false" customHeight="false" outlineLevel="0" collapsed="false">
      <c r="A29" s="4" t="s">
        <v>536</v>
      </c>
      <c r="B29" s="22" t="n">
        <f aca="false">B24-C24</f>
        <v>1309.02209689278</v>
      </c>
    </row>
    <row r="30" customFormat="false" ht="15" hidden="false" customHeight="false" outlineLevel="0" collapsed="false">
      <c r="A30" s="4" t="s">
        <v>537</v>
      </c>
      <c r="B30" s="22" t="n">
        <f aca="false">B25-C25</f>
        <v>0</v>
      </c>
    </row>
    <row r="31" customFormat="false" ht="15" hidden="false" customHeight="false" outlineLevel="0" collapsed="false">
      <c r="A31" s="23" t="s">
        <v>538</v>
      </c>
      <c r="B31" s="32" t="n">
        <f aca="false">SUM(B27:B30)</f>
        <v>2698.78909689278</v>
      </c>
      <c r="C31" s="32" t="n">
        <f aca="false">MIN(B31,E25)</f>
        <v>0</v>
      </c>
      <c r="D31" s="27" t="n">
        <f aca="false">IF(B31=0,0,C31/B31)</f>
        <v>0</v>
      </c>
      <c r="E31" s="22" t="n">
        <f aca="false">E25-C31</f>
        <v>0</v>
      </c>
    </row>
    <row r="32" customFormat="false" ht="15" hidden="false" customHeight="false" outlineLevel="0" collapsed="false">
      <c r="A32" s="4" t="s">
        <v>539</v>
      </c>
      <c r="C32" s="22" t="n">
        <f aca="false">E31</f>
        <v>0</v>
      </c>
    </row>
    <row r="34" customFormat="false" ht="15" hidden="false" customHeight="false" outlineLevel="0" collapsed="false">
      <c r="A34" s="8" t="s">
        <v>540</v>
      </c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5" hidden="false" customHeight="false" outlineLevel="0" collapsed="false">
      <c r="A35" s="23" t="s">
        <v>541</v>
      </c>
      <c r="B35" s="53" t="n">
        <f aca="false">IF(B24=0,0,(C24+B29*D31)/B24)</f>
        <v>0.528328996264343</v>
      </c>
    </row>
    <row r="36" customFormat="false" ht="15" hidden="false" customHeight="false" outlineLevel="0" collapsed="false">
      <c r="A36" s="23" t="s">
        <v>542</v>
      </c>
      <c r="B36" s="27" t="n">
        <f aca="false">1-B35</f>
        <v>0.471671003735657</v>
      </c>
    </row>
    <row r="37" customFormat="false" ht="15" hidden="false" customHeight="false" outlineLevel="0" collapsed="false">
      <c r="A37" s="4" t="s">
        <v>543</v>
      </c>
      <c r="B37" s="29" t="n">
        <f aca="false">IF(B25=0,0,(C25+B30*D31)/B25)</f>
        <v>0</v>
      </c>
    </row>
    <row r="38" customFormat="false" ht="15" hidden="false" customHeight="false" outlineLevel="0" collapsed="false">
      <c r="A38" s="4" t="s">
        <v>544</v>
      </c>
      <c r="B38" s="29" t="n">
        <f aca="false">IF(B27=0,0,D31)</f>
        <v>0</v>
      </c>
    </row>
    <row r="39" customFormat="false" ht="15" hidden="false" customHeight="false" outlineLevel="0" collapsed="false">
      <c r="A39" s="4" t="s">
        <v>545</v>
      </c>
      <c r="B39" s="29" t="n">
        <f aca="false">IF((B24+B25+B27)=0,0,B16/(B24+B25+B27))</f>
        <v>0.44677647289226</v>
      </c>
    </row>
    <row r="41" customFormat="false" ht="15" hidden="false" customHeight="false" outlineLevel="0" collapsed="false">
      <c r="A41" s="8" t="s">
        <v>546</v>
      </c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5" hidden="false" customHeight="false" outlineLevel="0" collapsed="false">
      <c r="A42" s="23" t="s">
        <v>547</v>
      </c>
      <c r="B42" s="54" t="n">
        <v>0.2</v>
      </c>
      <c r="C42" s="54" t="n">
        <v>0.25</v>
      </c>
      <c r="D42" s="54" t="n">
        <v>0.3</v>
      </c>
      <c r="E42" s="54" t="n">
        <v>0.35</v>
      </c>
      <c r="F42" s="54" t="n">
        <v>0.4</v>
      </c>
      <c r="G42" s="54" t="n">
        <v>0.45</v>
      </c>
      <c r="H42" s="54" t="n">
        <v>0.5</v>
      </c>
    </row>
    <row r="43" customFormat="false" ht="15" hidden="false" customHeight="false" outlineLevel="0" collapsed="false">
      <c r="A43" s="55" t="n">
        <v>5</v>
      </c>
      <c r="B43" s="29" t="n">
        <f aca="false">IF($B$24=0,0,MIN(1,MAX(0,($B$14*(1-B$42)*$A43*(1-$B$8)-$B$9)/$B$24)))</f>
        <v>0.542153065280845</v>
      </c>
      <c r="C43" s="29" t="n">
        <f aca="false">IF($B$24=0,0,MIN(1,MAX(0,($B$14*(1-C$42)*$A43*(1-$B$8)-$B$9)/$B$24)))</f>
        <v>0.507592892739591</v>
      </c>
      <c r="D43" s="29" t="n">
        <f aca="false">IF($B$24=0,0,MIN(1,MAX(0,($B$14*(1-D$42)*$A43*(1-$B$8)-$B$9)/$B$24)))</f>
        <v>0.473032720198337</v>
      </c>
      <c r="E43" s="29" t="n">
        <f aca="false">IF($B$24=0,0,MIN(1,MAX(0,($B$14*(1-E$42)*$A43*(1-$B$8)-$B$9)/$B$24)))</f>
        <v>0.438472547657084</v>
      </c>
      <c r="F43" s="29" t="n">
        <f aca="false">IF($B$24=0,0,MIN(1,MAX(0,($B$14*(1-F$42)*$A43*(1-$B$8)-$B$9)/$B$24)))</f>
        <v>0.40391237511583</v>
      </c>
      <c r="G43" s="29" t="n">
        <f aca="false">IF($B$24=0,0,MIN(1,MAX(0,($B$14*(1-G$42)*$A43*(1-$B$8)-$B$9)/$B$24)))</f>
        <v>0.369352202574576</v>
      </c>
      <c r="H43" s="29" t="n">
        <f aca="false">IF($B$24=0,0,MIN(1,MAX(0,($B$14*(1-H$42)*$A43*(1-$B$8)-$B$9)/$B$24)))</f>
        <v>0.334792030033323</v>
      </c>
    </row>
    <row r="44" customFormat="false" ht="15" hidden="false" customHeight="false" outlineLevel="0" collapsed="false">
      <c r="A44" s="55" t="n">
        <v>5.5</v>
      </c>
      <c r="B44" s="29" t="n">
        <f aca="false">IF($B$24=0,0,MIN(1,MAX(0,($B$14*(1-B$42)*$A44*(1-$B$8)-$B$9)/$B$24)))</f>
        <v>0.59744934134685</v>
      </c>
      <c r="C44" s="29" t="n">
        <f aca="false">IF($B$24=0,0,MIN(1,MAX(0,($B$14*(1-C$42)*$A44*(1-$B$8)-$B$9)/$B$24)))</f>
        <v>0.559433151551471</v>
      </c>
      <c r="D44" s="29" t="n">
        <f aca="false">IF($B$24=0,0,MIN(1,MAX(0,($B$14*(1-D$42)*$A44*(1-$B$8)-$B$9)/$B$24)))</f>
        <v>0.521416961756092</v>
      </c>
      <c r="E44" s="29" t="n">
        <f aca="false">IF($B$24=0,0,MIN(1,MAX(0,($B$14*(1-E$42)*$A44*(1-$B$8)-$B$9)/$B$24)))</f>
        <v>0.483400771960713</v>
      </c>
      <c r="F44" s="29" t="n">
        <f aca="false">IF($B$24=0,0,MIN(1,MAX(0,($B$14*(1-F$42)*$A44*(1-$B$8)-$B$9)/$B$24)))</f>
        <v>0.445384582165334</v>
      </c>
      <c r="G44" s="29" t="n">
        <f aca="false">IF($B$24=0,0,MIN(1,MAX(0,($B$14*(1-G$42)*$A44*(1-$B$8)-$B$9)/$B$24)))</f>
        <v>0.407368392369956</v>
      </c>
      <c r="H44" s="29" t="n">
        <f aca="false">IF($B$24=0,0,MIN(1,MAX(0,($B$14*(1-H$42)*$A44*(1-$B$8)-$B$9)/$B$24)))</f>
        <v>0.369352202574576</v>
      </c>
    </row>
    <row r="45" customFormat="false" ht="15" hidden="false" customHeight="false" outlineLevel="0" collapsed="false">
      <c r="A45" s="55" t="n">
        <v>6</v>
      </c>
      <c r="B45" s="29" t="n">
        <f aca="false">IF($B$24=0,0,MIN(1,MAX(0,($B$14*(1-B$42)*$A45*(1-$B$8)-$B$9)/$B$24)))</f>
        <v>0.652745617412856</v>
      </c>
      <c r="C45" s="29" t="n">
        <f aca="false">IF($B$24=0,0,MIN(1,MAX(0,($B$14*(1-C$42)*$A45*(1-$B$8)-$B$9)/$B$24)))</f>
        <v>0.611273410363352</v>
      </c>
      <c r="D45" s="29" t="n">
        <f aca="false">IF($B$24=0,0,MIN(1,MAX(0,($B$14*(1-D$42)*$A45*(1-$B$8)-$B$9)/$B$24)))</f>
        <v>0.569801203313847</v>
      </c>
      <c r="E45" s="29" t="n">
        <f aca="false">IF($B$24=0,0,MIN(1,MAX(0,($B$14*(1-E$42)*$A45*(1-$B$8)-$B$9)/$B$24)))</f>
        <v>0.528328996264343</v>
      </c>
      <c r="F45" s="29" t="n">
        <f aca="false">IF($B$24=0,0,MIN(1,MAX(0,($B$14*(1-F$42)*$A45*(1-$B$8)-$B$9)/$B$24)))</f>
        <v>0.486856789214839</v>
      </c>
      <c r="G45" s="29" t="n">
        <f aca="false">IF($B$24=0,0,MIN(1,MAX(0,($B$14*(1-G$42)*$A45*(1-$B$8)-$B$9)/$B$24)))</f>
        <v>0.445384582165334</v>
      </c>
      <c r="H45" s="29" t="n">
        <f aca="false">IF($B$24=0,0,MIN(1,MAX(0,($B$14*(1-H$42)*$A45*(1-$B$8)-$B$9)/$B$24)))</f>
        <v>0.40391237511583</v>
      </c>
    </row>
    <row r="46" customFormat="false" ht="15" hidden="false" customHeight="false" outlineLevel="0" collapsed="false">
      <c r="A46" s="55" t="n">
        <v>6.5</v>
      </c>
      <c r="B46" s="29" t="n">
        <f aca="false">IF($B$24=0,0,MIN(1,MAX(0,($B$14*(1-B$42)*$A46*(1-$B$8)-$B$9)/$B$24)))</f>
        <v>0.708041893478862</v>
      </c>
      <c r="C46" s="29" t="n">
        <f aca="false">IF($B$24=0,0,MIN(1,MAX(0,($B$14*(1-C$42)*$A46*(1-$B$8)-$B$9)/$B$24)))</f>
        <v>0.663113669175232</v>
      </c>
      <c r="D46" s="29" t="n">
        <f aca="false">IF($B$24=0,0,MIN(1,MAX(0,($B$14*(1-D$42)*$A46*(1-$B$8)-$B$9)/$B$24)))</f>
        <v>0.618185444871602</v>
      </c>
      <c r="E46" s="29" t="n">
        <f aca="false">IF($B$24=0,0,MIN(1,MAX(0,($B$14*(1-E$42)*$A46*(1-$B$8)-$B$9)/$B$24)))</f>
        <v>0.573257220567973</v>
      </c>
      <c r="F46" s="29" t="n">
        <f aca="false">IF($B$24=0,0,MIN(1,MAX(0,($B$14*(1-F$42)*$A46*(1-$B$8)-$B$9)/$B$24)))</f>
        <v>0.528328996264343</v>
      </c>
      <c r="G46" s="29" t="n">
        <f aca="false">IF($B$24=0,0,MIN(1,MAX(0,($B$14*(1-G$42)*$A46*(1-$B$8)-$B$9)/$B$24)))</f>
        <v>0.483400771960713</v>
      </c>
      <c r="H46" s="29" t="n">
        <f aca="false">IF($B$24=0,0,MIN(1,MAX(0,($B$14*(1-H$42)*$A46*(1-$B$8)-$B$9)/$B$24)))</f>
        <v>0.438472547657084</v>
      </c>
    </row>
    <row r="47" customFormat="false" ht="15" hidden="false" customHeight="false" outlineLevel="0" collapsed="false">
      <c r="A47" s="55" t="n">
        <v>7</v>
      </c>
      <c r="B47" s="29" t="n">
        <f aca="false">IF($B$24=0,0,MIN(1,MAX(0,($B$14*(1-B$42)*$A47*(1-$B$8)-$B$9)/$B$24)))</f>
        <v>0.763338169544867</v>
      </c>
      <c r="C47" s="29" t="n">
        <f aca="false">IF($B$24=0,0,MIN(1,MAX(0,($B$14*(1-C$42)*$A47*(1-$B$8)-$B$9)/$B$24)))</f>
        <v>0.714953927987112</v>
      </c>
      <c r="D47" s="29" t="n">
        <f aca="false">IF($B$24=0,0,MIN(1,MAX(0,($B$14*(1-D$42)*$A47*(1-$B$8)-$B$9)/$B$24)))</f>
        <v>0.666569686429357</v>
      </c>
      <c r="E47" s="29" t="n">
        <f aca="false">IF($B$24=0,0,MIN(1,MAX(0,($B$14*(1-E$42)*$A47*(1-$B$8)-$B$9)/$B$24)))</f>
        <v>0.618185444871602</v>
      </c>
      <c r="F47" s="29" t="n">
        <f aca="false">IF($B$24=0,0,MIN(1,MAX(0,($B$14*(1-F$42)*$A47*(1-$B$8)-$B$9)/$B$24)))</f>
        <v>0.569801203313847</v>
      </c>
      <c r="G47" s="29" t="n">
        <f aca="false">IF($B$24=0,0,MIN(1,MAX(0,($B$14*(1-G$42)*$A47*(1-$B$8)-$B$9)/$B$24)))</f>
        <v>0.521416961756092</v>
      </c>
      <c r="H47" s="29" t="n">
        <f aca="false">IF($B$24=0,0,MIN(1,MAX(0,($B$14*(1-H$42)*$A47*(1-$B$8)-$B$9)/$B$24)))</f>
        <v>0.473032720198337</v>
      </c>
    </row>
    <row r="48" customFormat="false" ht="15" hidden="false" customHeight="false" outlineLevel="0" collapsed="false">
      <c r="A48" s="55" t="n">
        <v>7.5</v>
      </c>
      <c r="B48" s="29" t="n">
        <f aca="false">IF($B$24=0,0,MIN(1,MAX(0,($B$14*(1-B$42)*$A48*(1-$B$8)-$B$9)/$B$24)))</f>
        <v>0.818634445610873</v>
      </c>
      <c r="C48" s="29" t="n">
        <f aca="false">IF($B$24=0,0,MIN(1,MAX(0,($B$14*(1-C$42)*$A48*(1-$B$8)-$B$9)/$B$24)))</f>
        <v>0.766794186798993</v>
      </c>
      <c r="D48" s="29" t="n">
        <f aca="false">IF($B$24=0,0,MIN(1,MAX(0,($B$14*(1-D$42)*$A48*(1-$B$8)-$B$9)/$B$24)))</f>
        <v>0.714953927987112</v>
      </c>
      <c r="E48" s="29" t="n">
        <f aca="false">IF($B$24=0,0,MIN(1,MAX(0,($B$14*(1-E$42)*$A48*(1-$B$8)-$B$9)/$B$24)))</f>
        <v>0.663113669175232</v>
      </c>
      <c r="F48" s="29" t="n">
        <f aca="false">IF($B$24=0,0,MIN(1,MAX(0,($B$14*(1-F$42)*$A48*(1-$B$8)-$B$9)/$B$24)))</f>
        <v>0.611273410363352</v>
      </c>
      <c r="G48" s="29" t="n">
        <f aca="false">IF($B$24=0,0,MIN(1,MAX(0,($B$14*(1-G$42)*$A48*(1-$B$8)-$B$9)/$B$24)))</f>
        <v>0.559433151551471</v>
      </c>
      <c r="H48" s="29" t="n">
        <f aca="false">IF($B$24=0,0,MIN(1,MAX(0,($B$14*(1-H$42)*$A48*(1-$B$8)-$B$9)/$B$24)))</f>
        <v>0.507592892739591</v>
      </c>
    </row>
    <row r="49" customFormat="false" ht="15" hidden="false" customHeight="false" outlineLevel="0" collapsed="false">
      <c r="A49" s="55" t="n">
        <v>8</v>
      </c>
      <c r="B49" s="29" t="n">
        <f aca="false">IF($B$24=0,0,MIN(1,MAX(0,($B$14*(1-B$42)*$A49*(1-$B$8)-$B$9)/$B$24)))</f>
        <v>0.873930721676879</v>
      </c>
      <c r="C49" s="29" t="n">
        <f aca="false">IF($B$24=0,0,MIN(1,MAX(0,($B$14*(1-C$42)*$A49*(1-$B$8)-$B$9)/$B$24)))</f>
        <v>0.818634445610873</v>
      </c>
      <c r="D49" s="29" t="n">
        <f aca="false">IF($B$24=0,0,MIN(1,MAX(0,($B$14*(1-D$42)*$A49*(1-$B$8)-$B$9)/$B$24)))</f>
        <v>0.763338169544867</v>
      </c>
      <c r="E49" s="29" t="n">
        <f aca="false">IF($B$24=0,0,MIN(1,MAX(0,($B$14*(1-E$42)*$A49*(1-$B$8)-$B$9)/$B$24)))</f>
        <v>0.708041893478862</v>
      </c>
      <c r="F49" s="29" t="n">
        <f aca="false">IF($B$24=0,0,MIN(1,MAX(0,($B$14*(1-F$42)*$A49*(1-$B$8)-$B$9)/$B$24)))</f>
        <v>0.652745617412856</v>
      </c>
      <c r="G49" s="29" t="n">
        <f aca="false">IF($B$24=0,0,MIN(1,MAX(0,($B$14*(1-G$42)*$A49*(1-$B$8)-$B$9)/$B$24)))</f>
        <v>0.59744934134685</v>
      </c>
      <c r="H49" s="29" t="n">
        <f aca="false">IF($B$24=0,0,MIN(1,MAX(0,($B$14*(1-H$42)*$A49*(1-$B$8)-$B$9)/$B$24)))</f>
        <v>0.542153065280845</v>
      </c>
    </row>
    <row r="50" customFormat="false" ht="15" hidden="false" customHeight="false" outlineLevel="0" collapsed="false">
      <c r="A50" s="2" t="s">
        <v>548</v>
      </c>
    </row>
    <row r="52" customFormat="false" ht="15" hidden="false" customHeight="false" outlineLevel="0" collapsed="false">
      <c r="A52" s="8" t="s">
        <v>549</v>
      </c>
      <c r="B52" s="9"/>
      <c r="C52" s="9"/>
      <c r="D52" s="9"/>
      <c r="E52" s="9"/>
      <c r="F52" s="9"/>
      <c r="G52" s="9"/>
      <c r="H52" s="9"/>
      <c r="I52" s="9"/>
      <c r="J52" s="9"/>
    </row>
    <row r="53" customFormat="false" ht="15" hidden="false" customHeight="false" outlineLevel="0" collapsed="false">
      <c r="A53" s="4" t="s">
        <v>550</v>
      </c>
      <c r="B53" s="18" t="n">
        <v>0.2</v>
      </c>
    </row>
    <row r="54" customFormat="false" ht="15" hidden="false" customHeight="false" outlineLevel="0" collapsed="false">
      <c r="A54" s="4" t="s">
        <v>551</v>
      </c>
      <c r="B54" s="51" t="n">
        <v>7</v>
      </c>
    </row>
    <row r="55" customFormat="false" ht="15" hidden="false" customHeight="false" outlineLevel="0" collapsed="false">
      <c r="A55" s="4" t="s">
        <v>552</v>
      </c>
      <c r="B55" s="35" t="n">
        <f aca="false">1-(1-B53)^(1/B54)</f>
        <v>0.0313749140730026</v>
      </c>
    </row>
    <row r="56" customFormat="false" ht="15" hidden="false" customHeight="false" outlineLevel="0" collapsed="false">
      <c r="A56" s="4" t="s">
        <v>553</v>
      </c>
      <c r="B56" s="29" t="n">
        <f aca="false">B36</f>
        <v>0.471671003735657</v>
      </c>
    </row>
    <row r="57" customFormat="false" ht="15" hidden="false" customHeight="false" outlineLevel="0" collapsed="false">
      <c r="A57" s="4" t="s">
        <v>554</v>
      </c>
      <c r="B57" s="30" t="n">
        <f aca="false">Cap_Stack!B11</f>
        <v>2400</v>
      </c>
    </row>
    <row r="58" customFormat="false" ht="15" hidden="false" customHeight="false" outlineLevel="0" collapsed="false">
      <c r="A58" s="23" t="s">
        <v>555</v>
      </c>
      <c r="B58" s="26" t="n">
        <f aca="false">B55*B56</f>
        <v>0.0147986372129331</v>
      </c>
    </row>
    <row r="59" customFormat="false" ht="15" hidden="false" customHeight="false" outlineLevel="0" collapsed="false">
      <c r="A59" s="4" t="s">
        <v>556</v>
      </c>
      <c r="B59" s="22" t="n">
        <f aca="false">B58*B57</f>
        <v>35.5167293110395</v>
      </c>
    </row>
    <row r="60" customFormat="false" ht="15" hidden="false" customHeight="false" outlineLevel="0" collapsed="false">
      <c r="A60" s="4" t="s">
        <v>557</v>
      </c>
      <c r="B60" s="46" t="n">
        <f aca="false">Inputs!B35</f>
        <v>0.0325</v>
      </c>
    </row>
    <row r="61" customFormat="false" ht="15" hidden="false" customHeight="false" outlineLevel="0" collapsed="false">
      <c r="A61" s="4" t="s">
        <v>558</v>
      </c>
      <c r="B61" s="46" t="n">
        <f aca="false">Inputs!B19/3</f>
        <v>0.00333333333333333</v>
      </c>
    </row>
    <row r="62" customFormat="false" ht="15" hidden="false" customHeight="false" outlineLevel="0" collapsed="false">
      <c r="A62" s="4" t="s">
        <v>559</v>
      </c>
      <c r="B62" s="35" t="n">
        <f aca="false">B60+B61</f>
        <v>0.0358333333333333</v>
      </c>
    </row>
    <row r="63" customFormat="false" ht="15" hidden="false" customHeight="false" outlineLevel="0" collapsed="false">
      <c r="A63" s="23" t="s">
        <v>560</v>
      </c>
      <c r="B63" s="56" t="n">
        <f aca="false">B62-B58</f>
        <v>0.0210346961204002</v>
      </c>
    </row>
    <row r="64" customFormat="false" ht="15" hidden="false" customHeight="false" outlineLevel="0" collapsed="false">
      <c r="A64" s="4" t="s">
        <v>561</v>
      </c>
      <c r="B64" s="35" t="n">
        <f aca="false">B58</f>
        <v>0.0147986372129331</v>
      </c>
    </row>
    <row r="65" customFormat="false" ht="15" hidden="false" customHeight="false" outlineLevel="0" collapsed="false">
      <c r="A65" s="23" t="s">
        <v>562</v>
      </c>
      <c r="B65" s="23" t="str">
        <f aca="false">IF(B63&gt;0.015,"Spread comfortably covers expected loss",IF(B63&gt;0,"Thin cushion – push for wider pricing","Spread does NOT cover expected loss"))</f>
        <v>Spread comfortably covers expected loss</v>
      </c>
    </row>
    <row r="67" customFormat="false" ht="15" hidden="false" customHeight="false" outlineLevel="0" collapsed="false">
      <c r="A67" s="2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2026-10-23T21:39:45Z</dcterms:created>
  <dc:creator>openpyxl</dc:creator>
  <dc:description/>
  <dc:language>en-US</dc:language>
  <cp:lastModifiedBy/>
  <dcterms:modified xsi:type="dcterms:W3CDTF">2026-10-23T21:39:45Z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